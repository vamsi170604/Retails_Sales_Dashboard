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19d11280c2dd4383/Documents/"/>
    </mc:Choice>
  </mc:AlternateContent>
  <xr:revisionPtr revIDLastSave="679" documentId="8_{D1E33255-6CDF-41AE-8F64-ECE0CD430151}" xr6:coauthVersionLast="47" xr6:coauthVersionMax="47" xr10:uidLastSave="{4AF0A4AF-7220-4E3B-A2FB-4C4178D10B98}"/>
  <bookViews>
    <workbookView xWindow="-108" yWindow="-108" windowWidth="23256" windowHeight="14616" xr2:uid="{32D7C562-BC9A-46BA-97FA-A4EEBBED5656}"/>
  </bookViews>
  <sheets>
    <sheet name="Retail_Shop Data" sheetId="1" r:id="rId1"/>
    <sheet name="Kpi's" sheetId="2" r:id="rId2"/>
    <sheet name="Dashboard" sheetId="4" r:id="rId3"/>
  </sheets>
  <definedNames>
    <definedName name="Slicer_Category_of_Goods">#N/A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 i="2" l="1"/>
  <c r="O13" i="2"/>
  <c r="O9" i="2"/>
  <c r="O5" i="2"/>
</calcChain>
</file>

<file path=xl/sharedStrings.xml><?xml version="1.0" encoding="utf-8"?>
<sst xmlns="http://schemas.openxmlformats.org/spreadsheetml/2006/main" count="1371" uniqueCount="556">
  <si>
    <t>Customer ID</t>
  </si>
  <si>
    <t>Customer Name</t>
  </si>
  <si>
    <t>Last Name</t>
  </si>
  <si>
    <t>Sales</t>
  </si>
  <si>
    <t>Year</t>
  </si>
  <si>
    <t>Outlet Type</t>
  </si>
  <si>
    <t>City Type</t>
  </si>
  <si>
    <t>Category of Goods</t>
  </si>
  <si>
    <t>Region</t>
  </si>
  <si>
    <t>Segment</t>
  </si>
  <si>
    <t>Sales Date</t>
  </si>
  <si>
    <t>Order ID</t>
  </si>
  <si>
    <t>Order Date</t>
  </si>
  <si>
    <t>Ship Date</t>
  </si>
  <si>
    <t>Ship Mode</t>
  </si>
  <si>
    <t>State</t>
  </si>
  <si>
    <t>Product ID</t>
  </si>
  <si>
    <t>Product Name</t>
  </si>
  <si>
    <t>Quantity</t>
  </si>
  <si>
    <t>Discount</t>
  </si>
  <si>
    <t>Profit</t>
  </si>
  <si>
    <t>CUS001</t>
  </si>
  <si>
    <t>Curtis</t>
  </si>
  <si>
    <t>Krause</t>
  </si>
  <si>
    <t>Large</t>
  </si>
  <si>
    <t>Tier 1</t>
  </si>
  <si>
    <t>Fast Food</t>
  </si>
  <si>
    <t>East</t>
  </si>
  <si>
    <t>Consumer</t>
  </si>
  <si>
    <t>ORD001</t>
  </si>
  <si>
    <t>Same Day</t>
  </si>
  <si>
    <t>West Bengal</t>
  </si>
  <si>
    <t>PROD001</t>
  </si>
  <si>
    <t>Burgers</t>
  </si>
  <si>
    <t>CUS002</t>
  </si>
  <si>
    <t>Jeremy</t>
  </si>
  <si>
    <t>Foster</t>
  </si>
  <si>
    <t>Medium</t>
  </si>
  <si>
    <t>Tier 2</t>
  </si>
  <si>
    <t>Corporate</t>
  </si>
  <si>
    <t>ORD002</t>
  </si>
  <si>
    <t>Standard Class</t>
  </si>
  <si>
    <t>Punjab</t>
  </si>
  <si>
    <t>PROD002</t>
  </si>
  <si>
    <t>Pizzas</t>
  </si>
  <si>
    <t>CUS003</t>
  </si>
  <si>
    <t>Ariel</t>
  </si>
  <si>
    <t>Mccann</t>
  </si>
  <si>
    <t>Tier 3</t>
  </si>
  <si>
    <t>Electric Appliances</t>
  </si>
  <si>
    <t>South</t>
  </si>
  <si>
    <t>ORD003</t>
  </si>
  <si>
    <t>Second Class</t>
  </si>
  <si>
    <t>Gujarat</t>
  </si>
  <si>
    <t>PROD003</t>
  </si>
  <si>
    <t>Fans</t>
  </si>
  <si>
    <t>CUS004</t>
  </si>
  <si>
    <t>Colleen</t>
  </si>
  <si>
    <t>Maynard</t>
  </si>
  <si>
    <t>Dairy Products</t>
  </si>
  <si>
    <t>ORD004</t>
  </si>
  <si>
    <t>First Class</t>
  </si>
  <si>
    <t>PROD004</t>
  </si>
  <si>
    <t>Milk</t>
  </si>
  <si>
    <t>CUS005</t>
  </si>
  <si>
    <t>Gina</t>
  </si>
  <si>
    <t>Holden</t>
  </si>
  <si>
    <t>Small</t>
  </si>
  <si>
    <t>Fruits &amp; Vegetables</t>
  </si>
  <si>
    <t>West</t>
  </si>
  <si>
    <t>ORD005</t>
  </si>
  <si>
    <t>Delhi</t>
  </si>
  <si>
    <t>PROD005</t>
  </si>
  <si>
    <t>Tomatoes</t>
  </si>
  <si>
    <t>CUS006</t>
  </si>
  <si>
    <t>Danny</t>
  </si>
  <si>
    <t>Stevenson</t>
  </si>
  <si>
    <t>ORD006</t>
  </si>
  <si>
    <t>Tamil Nadu</t>
  </si>
  <si>
    <t>PROD006</t>
  </si>
  <si>
    <t>CUS007</t>
  </si>
  <si>
    <t>Stephanie</t>
  </si>
  <si>
    <t>Mccoy</t>
  </si>
  <si>
    <t>North</t>
  </si>
  <si>
    <t>ORD007</t>
  </si>
  <si>
    <t>PROD007</t>
  </si>
  <si>
    <t>Yogurt</t>
  </si>
  <si>
    <t>CUS008</t>
  </si>
  <si>
    <t>Henry</t>
  </si>
  <si>
    <t>Cruz</t>
  </si>
  <si>
    <t>ORD008</t>
  </si>
  <si>
    <t>Rajasthan</t>
  </si>
  <si>
    <t>PROD008</t>
  </si>
  <si>
    <t>Washing Machines</t>
  </si>
  <si>
    <t>CUS009</t>
  </si>
  <si>
    <t>Kristen</t>
  </si>
  <si>
    <t>Lutz</t>
  </si>
  <si>
    <t>ORD009</t>
  </si>
  <si>
    <t>PROD009</t>
  </si>
  <si>
    <t>CUS010</t>
  </si>
  <si>
    <t>Gregory</t>
  </si>
  <si>
    <t>Cuevas</t>
  </si>
  <si>
    <t>Furniture</t>
  </si>
  <si>
    <t>ORD010</t>
  </si>
  <si>
    <t>PROD010</t>
  </si>
  <si>
    <t>Beds</t>
  </si>
  <si>
    <t>CUS011</t>
  </si>
  <si>
    <t>Sara</t>
  </si>
  <si>
    <t>Yang</t>
  </si>
  <si>
    <t>ORD011</t>
  </si>
  <si>
    <t>Uttar Pradesh</t>
  </si>
  <si>
    <t>PROD011</t>
  </si>
  <si>
    <t>CUS012</t>
  </si>
  <si>
    <t>Kenneth</t>
  </si>
  <si>
    <t>Johnson</t>
  </si>
  <si>
    <t>ORD012</t>
  </si>
  <si>
    <t>Madhya Pradesh</t>
  </si>
  <si>
    <t>PROD012</t>
  </si>
  <si>
    <t>Mangoes</t>
  </si>
  <si>
    <t>CUS013</t>
  </si>
  <si>
    <t>Charles</t>
  </si>
  <si>
    <t>Krueger</t>
  </si>
  <si>
    <t>ORD013</t>
  </si>
  <si>
    <t>PROD013</t>
  </si>
  <si>
    <t>Chairs</t>
  </si>
  <si>
    <t>CUS014</t>
  </si>
  <si>
    <t>Brenda</t>
  </si>
  <si>
    <t>Campbell</t>
  </si>
  <si>
    <t>ORD014</t>
  </si>
  <si>
    <t>Karnataka</t>
  </si>
  <si>
    <t>PROD014</t>
  </si>
  <si>
    <t>CUS015</t>
  </si>
  <si>
    <t>Michael</t>
  </si>
  <si>
    <t>Smith</t>
  </si>
  <si>
    <t>ORD015</t>
  </si>
  <si>
    <t>PROD015</t>
  </si>
  <si>
    <t>CUS016</t>
  </si>
  <si>
    <t>Cheryl</t>
  </si>
  <si>
    <t>Stewart</t>
  </si>
  <si>
    <t>ORD016</t>
  </si>
  <si>
    <t>PROD016</t>
  </si>
  <si>
    <t>Fries</t>
  </si>
  <si>
    <t>CUS017</t>
  </si>
  <si>
    <t>Timothy</t>
  </si>
  <si>
    <t>Harris</t>
  </si>
  <si>
    <t>ORD017</t>
  </si>
  <si>
    <t>Maharashtra</t>
  </si>
  <si>
    <t>PROD017</t>
  </si>
  <si>
    <t>CUS018</t>
  </si>
  <si>
    <t>Charlene</t>
  </si>
  <si>
    <t>Blair</t>
  </si>
  <si>
    <t>Household Items</t>
  </si>
  <si>
    <t>ORD018</t>
  </si>
  <si>
    <t>PROD018</t>
  </si>
  <si>
    <t>Mops</t>
  </si>
  <si>
    <t>CUS019</t>
  </si>
  <si>
    <t>Dustin</t>
  </si>
  <si>
    <t>Fuentes</t>
  </si>
  <si>
    <t>ORD019</t>
  </si>
  <si>
    <t>PROD019</t>
  </si>
  <si>
    <t>Buckets</t>
  </si>
  <si>
    <t>CUS020</t>
  </si>
  <si>
    <t>Mary</t>
  </si>
  <si>
    <t>ORD020</t>
  </si>
  <si>
    <t>PROD020</t>
  </si>
  <si>
    <t>Utensils</t>
  </si>
  <si>
    <t>CUS021</t>
  </si>
  <si>
    <t>Christie</t>
  </si>
  <si>
    <t>Pearson</t>
  </si>
  <si>
    <t>ORD021</t>
  </si>
  <si>
    <t>PROD021</t>
  </si>
  <si>
    <t>Detergents</t>
  </si>
  <si>
    <t>CUS022</t>
  </si>
  <si>
    <t>Patricia</t>
  </si>
  <si>
    <t>Hicks</t>
  </si>
  <si>
    <t>ORD022</t>
  </si>
  <si>
    <t>PROD022</t>
  </si>
  <si>
    <t>Cheese</t>
  </si>
  <si>
    <t>CUS023</t>
  </si>
  <si>
    <t>Steven</t>
  </si>
  <si>
    <t>Perkins</t>
  </si>
  <si>
    <t>ORD023</t>
  </si>
  <si>
    <t>PROD023</t>
  </si>
  <si>
    <t>CUS024</t>
  </si>
  <si>
    <t>Robert</t>
  </si>
  <si>
    <t>Nicholson</t>
  </si>
  <si>
    <t>ORD024</t>
  </si>
  <si>
    <t>PROD024</t>
  </si>
  <si>
    <t>CUS025</t>
  </si>
  <si>
    <t>Julie</t>
  </si>
  <si>
    <t>Phillips</t>
  </si>
  <si>
    <t>ORD025</t>
  </si>
  <si>
    <t>PROD025</t>
  </si>
  <si>
    <t>Carrots</t>
  </si>
  <si>
    <t>CUS026</t>
  </si>
  <si>
    <t>David</t>
  </si>
  <si>
    <t>ORD026</t>
  </si>
  <si>
    <t>PROD026</t>
  </si>
  <si>
    <t>CUS027</t>
  </si>
  <si>
    <t>Shelly</t>
  </si>
  <si>
    <t>Thomas</t>
  </si>
  <si>
    <t>ORD027</t>
  </si>
  <si>
    <t>PROD027</t>
  </si>
  <si>
    <t>CUS028</t>
  </si>
  <si>
    <t>Dale</t>
  </si>
  <si>
    <t>Miller</t>
  </si>
  <si>
    <t>ORD028</t>
  </si>
  <si>
    <t>PROD028</t>
  </si>
  <si>
    <t>CUS029</t>
  </si>
  <si>
    <t>Megan</t>
  </si>
  <si>
    <t>Davis</t>
  </si>
  <si>
    <t>ORD029</t>
  </si>
  <si>
    <t>PROD029</t>
  </si>
  <si>
    <t>CUS030</t>
  </si>
  <si>
    <t>Stephenson</t>
  </si>
  <si>
    <t>ORD030</t>
  </si>
  <si>
    <t>PROD030</t>
  </si>
  <si>
    <t>CUS031</t>
  </si>
  <si>
    <t>Natasha</t>
  </si>
  <si>
    <t>Murray</t>
  </si>
  <si>
    <t>ORD031</t>
  </si>
  <si>
    <t>PROD031</t>
  </si>
  <si>
    <t>Apples</t>
  </si>
  <si>
    <t>CUS032</t>
  </si>
  <si>
    <t>William</t>
  </si>
  <si>
    <t>Duran</t>
  </si>
  <si>
    <t>ORD032</t>
  </si>
  <si>
    <t>PROD032</t>
  </si>
  <si>
    <t>CUS033</t>
  </si>
  <si>
    <t>Gregg</t>
  </si>
  <si>
    <t>ORD033</t>
  </si>
  <si>
    <t>PROD033</t>
  </si>
  <si>
    <t>Tables</t>
  </si>
  <si>
    <t>CUS034</t>
  </si>
  <si>
    <t>Lori</t>
  </si>
  <si>
    <t>ORD034</t>
  </si>
  <si>
    <t>PROD034</t>
  </si>
  <si>
    <t>CUS035</t>
  </si>
  <si>
    <t>Brooke</t>
  </si>
  <si>
    <t>Lowe</t>
  </si>
  <si>
    <t>ORD035</t>
  </si>
  <si>
    <t>PROD035</t>
  </si>
  <si>
    <t>CUS036</t>
  </si>
  <si>
    <t>Kevin</t>
  </si>
  <si>
    <t>Moore</t>
  </si>
  <si>
    <t>ORD036</t>
  </si>
  <si>
    <t>PROD036</t>
  </si>
  <si>
    <t>CUS037</t>
  </si>
  <si>
    <t>Sandy</t>
  </si>
  <si>
    <t>ORD037</t>
  </si>
  <si>
    <t>PROD037</t>
  </si>
  <si>
    <t>CUS038</t>
  </si>
  <si>
    <t>Morgan</t>
  </si>
  <si>
    <t>Greene</t>
  </si>
  <si>
    <t>ORD038</t>
  </si>
  <si>
    <t>PROD038</t>
  </si>
  <si>
    <t>CUS039</t>
  </si>
  <si>
    <t>Terrell</t>
  </si>
  <si>
    <t>ORD039</t>
  </si>
  <si>
    <t>PROD039</t>
  </si>
  <si>
    <t>CUS040</t>
  </si>
  <si>
    <t>Jeanne</t>
  </si>
  <si>
    <t>Gonzales</t>
  </si>
  <si>
    <t>ORD040</t>
  </si>
  <si>
    <t>PROD040</t>
  </si>
  <si>
    <t>CUS041</t>
  </si>
  <si>
    <t>Kayla</t>
  </si>
  <si>
    <t>Rivera</t>
  </si>
  <si>
    <t>ORD041</t>
  </si>
  <si>
    <t>PROD041</t>
  </si>
  <si>
    <t>CUS042</t>
  </si>
  <si>
    <t>Michelle</t>
  </si>
  <si>
    <t>Green</t>
  </si>
  <si>
    <t>ORD042</t>
  </si>
  <si>
    <t>PROD042</t>
  </si>
  <si>
    <t>CUS043</t>
  </si>
  <si>
    <t>Morrow</t>
  </si>
  <si>
    <t>ORD043</t>
  </si>
  <si>
    <t>PROD043</t>
  </si>
  <si>
    <t>Sandwiches</t>
  </si>
  <si>
    <t>CUS044</t>
  </si>
  <si>
    <t>Richard</t>
  </si>
  <si>
    <t>Simmons</t>
  </si>
  <si>
    <t>ORD044</t>
  </si>
  <si>
    <t>PROD044</t>
  </si>
  <si>
    <t>CUS045</t>
  </si>
  <si>
    <t>Joseph</t>
  </si>
  <si>
    <t>Jones</t>
  </si>
  <si>
    <t>ORD045</t>
  </si>
  <si>
    <t>PROD045</t>
  </si>
  <si>
    <t>CUS046</t>
  </si>
  <si>
    <t>Joshua</t>
  </si>
  <si>
    <t>Welch</t>
  </si>
  <si>
    <t>ORD046</t>
  </si>
  <si>
    <t>PROD046</t>
  </si>
  <si>
    <t>Refrigerators</t>
  </si>
  <si>
    <t>CUS047</t>
  </si>
  <si>
    <t>Victoria</t>
  </si>
  <si>
    <t>Lang</t>
  </si>
  <si>
    <t>ORD047</t>
  </si>
  <si>
    <t>PROD047</t>
  </si>
  <si>
    <t>CUS048</t>
  </si>
  <si>
    <t>Amy</t>
  </si>
  <si>
    <t>Armstrong</t>
  </si>
  <si>
    <t>ORD048</t>
  </si>
  <si>
    <t>PROD048</t>
  </si>
  <si>
    <t>Butter</t>
  </si>
  <si>
    <t>CUS049</t>
  </si>
  <si>
    <t>Amber</t>
  </si>
  <si>
    <t>Ramirez</t>
  </si>
  <si>
    <t>ORD049</t>
  </si>
  <si>
    <t>PROD049</t>
  </si>
  <si>
    <t>CUS050</t>
  </si>
  <si>
    <t>Patrick</t>
  </si>
  <si>
    <t>Hickman</t>
  </si>
  <si>
    <t>ORD050</t>
  </si>
  <si>
    <t>PROD050</t>
  </si>
  <si>
    <t>CUS051</t>
  </si>
  <si>
    <t>Misty</t>
  </si>
  <si>
    <t>Fletcher</t>
  </si>
  <si>
    <t>ORD051</t>
  </si>
  <si>
    <t>PROD051</t>
  </si>
  <si>
    <t>CUS052</t>
  </si>
  <si>
    <t>Lozano</t>
  </si>
  <si>
    <t>ORD052</t>
  </si>
  <si>
    <t>PROD052</t>
  </si>
  <si>
    <t>CUS053</t>
  </si>
  <si>
    <t>ORD053</t>
  </si>
  <si>
    <t>PROD053</t>
  </si>
  <si>
    <t>CUS054</t>
  </si>
  <si>
    <t>Ortega</t>
  </si>
  <si>
    <t>ORD054</t>
  </si>
  <si>
    <t>PROD054</t>
  </si>
  <si>
    <t>CUS055</t>
  </si>
  <si>
    <t>Nancy</t>
  </si>
  <si>
    <t>Wilson</t>
  </si>
  <si>
    <t>ORD055</t>
  </si>
  <si>
    <t>PROD055</t>
  </si>
  <si>
    <t>CUS056</t>
  </si>
  <si>
    <t>Jay</t>
  </si>
  <si>
    <t>Bell</t>
  </si>
  <si>
    <t>ORD056</t>
  </si>
  <si>
    <t>PROD056</t>
  </si>
  <si>
    <t>CUS057</t>
  </si>
  <si>
    <t>John</t>
  </si>
  <si>
    <t>Miles</t>
  </si>
  <si>
    <t>ORD057</t>
  </si>
  <si>
    <t>PROD057</t>
  </si>
  <si>
    <t>CUS058</t>
  </si>
  <si>
    <t>Courtney</t>
  </si>
  <si>
    <t>Mejia</t>
  </si>
  <si>
    <t>ORD058</t>
  </si>
  <si>
    <t>PROD058</t>
  </si>
  <si>
    <t>CUS059</t>
  </si>
  <si>
    <t>Sharon</t>
  </si>
  <si>
    <t>Gonzalez</t>
  </si>
  <si>
    <t>ORD059</t>
  </si>
  <si>
    <t>PROD059</t>
  </si>
  <si>
    <t>CUS060</t>
  </si>
  <si>
    <t>Hill</t>
  </si>
  <si>
    <t>ORD060</t>
  </si>
  <si>
    <t>PROD060</t>
  </si>
  <si>
    <t>CUS061</t>
  </si>
  <si>
    <t>Jeffrey</t>
  </si>
  <si>
    <t>Lopez</t>
  </si>
  <si>
    <t>ORD061</t>
  </si>
  <si>
    <t>PROD061</t>
  </si>
  <si>
    <t>CUS062</t>
  </si>
  <si>
    <t>Chad</t>
  </si>
  <si>
    <t>Holmes</t>
  </si>
  <si>
    <t>ORD062</t>
  </si>
  <si>
    <t>PROD062</t>
  </si>
  <si>
    <t>CUS063</t>
  </si>
  <si>
    <t>Laura</t>
  </si>
  <si>
    <t>Koch</t>
  </si>
  <si>
    <t>ORD063</t>
  </si>
  <si>
    <t>PROD063</t>
  </si>
  <si>
    <t>CUS064</t>
  </si>
  <si>
    <t>ORD064</t>
  </si>
  <si>
    <t>PROD064</t>
  </si>
  <si>
    <t>Microwaves</t>
  </si>
  <si>
    <t>CUS065</t>
  </si>
  <si>
    <t>Daniel</t>
  </si>
  <si>
    <t>Clark</t>
  </si>
  <si>
    <t>ORD065</t>
  </si>
  <si>
    <t>PROD065</t>
  </si>
  <si>
    <t>Sofas</t>
  </si>
  <si>
    <t>CUS066</t>
  </si>
  <si>
    <t>Katherine</t>
  </si>
  <si>
    <t>ORD066</t>
  </si>
  <si>
    <t>PROD066</t>
  </si>
  <si>
    <t>CUS067</t>
  </si>
  <si>
    <t>Bryant</t>
  </si>
  <si>
    <t>ORD067</t>
  </si>
  <si>
    <t>PROD067</t>
  </si>
  <si>
    <t>CUS068</t>
  </si>
  <si>
    <t>Victor</t>
  </si>
  <si>
    <t>Hall</t>
  </si>
  <si>
    <t>ORD068</t>
  </si>
  <si>
    <t>PROD068</t>
  </si>
  <si>
    <t>CUS069</t>
  </si>
  <si>
    <t>Rebecca</t>
  </si>
  <si>
    <t>Lawrence</t>
  </si>
  <si>
    <t>ORD069</t>
  </si>
  <si>
    <t>PROD069</t>
  </si>
  <si>
    <t>CUS070</t>
  </si>
  <si>
    <t>Kara</t>
  </si>
  <si>
    <t>Galvan</t>
  </si>
  <si>
    <t>ORD070</t>
  </si>
  <si>
    <t>PROD070</t>
  </si>
  <si>
    <t>CUS071</t>
  </si>
  <si>
    <t>Anthony</t>
  </si>
  <si>
    <t>Fox</t>
  </si>
  <si>
    <t>ORD071</t>
  </si>
  <si>
    <t>PROD071</t>
  </si>
  <si>
    <t>CUS072</t>
  </si>
  <si>
    <t>Teresa</t>
  </si>
  <si>
    <t>Adams</t>
  </si>
  <si>
    <t>ORD072</t>
  </si>
  <si>
    <t>PROD072</t>
  </si>
  <si>
    <t>CUS073</t>
  </si>
  <si>
    <t>Evelyn</t>
  </si>
  <si>
    <t>Parker</t>
  </si>
  <si>
    <t>ORD073</t>
  </si>
  <si>
    <t>PROD073</t>
  </si>
  <si>
    <t>CUS074</t>
  </si>
  <si>
    <t>Elizabeth</t>
  </si>
  <si>
    <t>Hammond</t>
  </si>
  <si>
    <t>ORD074</t>
  </si>
  <si>
    <t>PROD074</t>
  </si>
  <si>
    <t>CUS075</t>
  </si>
  <si>
    <t>Denise</t>
  </si>
  <si>
    <t>Lynch</t>
  </si>
  <si>
    <t>ORD075</t>
  </si>
  <si>
    <t>PROD075</t>
  </si>
  <si>
    <t>CUS076</t>
  </si>
  <si>
    <t>Carrie</t>
  </si>
  <si>
    <t>Nguyen</t>
  </si>
  <si>
    <t>ORD076</t>
  </si>
  <si>
    <t>PROD076</t>
  </si>
  <si>
    <t>CUS077</t>
  </si>
  <si>
    <t>Danielle</t>
  </si>
  <si>
    <t>ORD077</t>
  </si>
  <si>
    <t>PROD077</t>
  </si>
  <si>
    <t>CUS078</t>
  </si>
  <si>
    <t>Jennifer</t>
  </si>
  <si>
    <t>Cox</t>
  </si>
  <si>
    <t>ORD078</t>
  </si>
  <si>
    <t>PROD078</t>
  </si>
  <si>
    <t>CUS079</t>
  </si>
  <si>
    <t>Anita</t>
  </si>
  <si>
    <t>ORD079</t>
  </si>
  <si>
    <t>PROD079</t>
  </si>
  <si>
    <t>CUS080</t>
  </si>
  <si>
    <t>Williams</t>
  </si>
  <si>
    <t>ORD080</t>
  </si>
  <si>
    <t>PROD080</t>
  </si>
  <si>
    <t>CUS081</t>
  </si>
  <si>
    <t>Karen</t>
  </si>
  <si>
    <t>Browning</t>
  </si>
  <si>
    <t>ORD081</t>
  </si>
  <si>
    <t>PROD081</t>
  </si>
  <si>
    <t>CUS082</t>
  </si>
  <si>
    <t>Kathryn</t>
  </si>
  <si>
    <t>Lee</t>
  </si>
  <si>
    <t>ORD082</t>
  </si>
  <si>
    <t>PROD082</t>
  </si>
  <si>
    <t>CUS083</t>
  </si>
  <si>
    <t>May</t>
  </si>
  <si>
    <t>ORD083</t>
  </si>
  <si>
    <t>PROD083</t>
  </si>
  <si>
    <t>CUS084</t>
  </si>
  <si>
    <t>King</t>
  </si>
  <si>
    <t>ORD084</t>
  </si>
  <si>
    <t>PROD084</t>
  </si>
  <si>
    <t>CUS085</t>
  </si>
  <si>
    <t>Jessica</t>
  </si>
  <si>
    <t>Ruiz</t>
  </si>
  <si>
    <t>ORD085</t>
  </si>
  <si>
    <t>PROD085</t>
  </si>
  <si>
    <t>CUS086</t>
  </si>
  <si>
    <t>Carlos</t>
  </si>
  <si>
    <t>ORD086</t>
  </si>
  <si>
    <t>PROD086</t>
  </si>
  <si>
    <t>CUS087</t>
  </si>
  <si>
    <t>Tiffany</t>
  </si>
  <si>
    <t>Bautista</t>
  </si>
  <si>
    <t>ORD087</t>
  </si>
  <si>
    <t>PROD087</t>
  </si>
  <si>
    <t>CUS088</t>
  </si>
  <si>
    <t>Eaton</t>
  </si>
  <si>
    <t>ORD088</t>
  </si>
  <si>
    <t>PROD088</t>
  </si>
  <si>
    <t>CUS089</t>
  </si>
  <si>
    <t>Jose</t>
  </si>
  <si>
    <t>Carrillo</t>
  </si>
  <si>
    <t>ORD089</t>
  </si>
  <si>
    <t>PROD089</t>
  </si>
  <si>
    <t>CUS090</t>
  </si>
  <si>
    <t>Matthew</t>
  </si>
  <si>
    <t>Lucero</t>
  </si>
  <si>
    <t>ORD090</t>
  </si>
  <si>
    <t>PROD090</t>
  </si>
  <si>
    <t>CUS091</t>
  </si>
  <si>
    <t>Rebekah</t>
  </si>
  <si>
    <t>ORD091</t>
  </si>
  <si>
    <t>PROD091</t>
  </si>
  <si>
    <t>CUS092</t>
  </si>
  <si>
    <t>Todd</t>
  </si>
  <si>
    <t>Chapman</t>
  </si>
  <si>
    <t>ORD092</t>
  </si>
  <si>
    <t>PROD092</t>
  </si>
  <si>
    <t>CUS093</t>
  </si>
  <si>
    <t>Samantha</t>
  </si>
  <si>
    <t>Martinez</t>
  </si>
  <si>
    <t>ORD093</t>
  </si>
  <si>
    <t>PROD093</t>
  </si>
  <si>
    <t>CUS094</t>
  </si>
  <si>
    <t>Angela</t>
  </si>
  <si>
    <t>Brown</t>
  </si>
  <si>
    <t>ORD094</t>
  </si>
  <si>
    <t>PROD094</t>
  </si>
  <si>
    <t>CUS095</t>
  </si>
  <si>
    <t>Lauren</t>
  </si>
  <si>
    <t>Reed</t>
  </si>
  <si>
    <t>ORD095</t>
  </si>
  <si>
    <t>PROD095</t>
  </si>
  <si>
    <t>CUS096</t>
  </si>
  <si>
    <t>Sandra</t>
  </si>
  <si>
    <t>Hubbard</t>
  </si>
  <si>
    <t>ORD096</t>
  </si>
  <si>
    <t>PROD096</t>
  </si>
  <si>
    <t>CUS097</t>
  </si>
  <si>
    <t>Marcus</t>
  </si>
  <si>
    <t>Barker</t>
  </si>
  <si>
    <t>ORD097</t>
  </si>
  <si>
    <t>PROD097</t>
  </si>
  <si>
    <t>CUS098</t>
  </si>
  <si>
    <t>Kimberly</t>
  </si>
  <si>
    <t>Mccall</t>
  </si>
  <si>
    <t>ORD098</t>
  </si>
  <si>
    <t>PROD098</t>
  </si>
  <si>
    <t>CUS099</t>
  </si>
  <si>
    <t>Mason</t>
  </si>
  <si>
    <t>ORD099</t>
  </si>
  <si>
    <t>PROD099</t>
  </si>
  <si>
    <t>CUS100</t>
  </si>
  <si>
    <t>Rangel</t>
  </si>
  <si>
    <t>ORD100</t>
  </si>
  <si>
    <t>PROD100</t>
  </si>
  <si>
    <t>Sum of Sales</t>
  </si>
  <si>
    <t>Sum of Profit</t>
  </si>
  <si>
    <t>Sum of Quantity</t>
  </si>
  <si>
    <t>Sum of Discount</t>
  </si>
  <si>
    <t>Average of Discount</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</si>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</sst>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quot;₹&quot;\ #,##0.00"/>
    <numFmt numFmtId="165" formatCode="&quot;₹&quot;\ #,##0"/>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0" borderId="0" xfId="0" applyFont="1"/>
    <xf numFmtId="164" fontId="2" fillId="0" borderId="0" xfId="0" applyNumberFormat="1" applyFont="1"/>
    <xf numFmtId="9" fontId="2" fillId="0" borderId="0" xfId="1" applyFont="1"/>
    <xf numFmtId="164" fontId="0" fillId="0" borderId="0" xfId="0" applyNumberFormat="1"/>
    <xf numFmtId="14" fontId="0" fillId="0" borderId="0" xfId="0" applyNumberFormat="1"/>
    <xf numFmtId="9" fontId="0" fillId="0" borderId="0" xfId="1" applyFont="1"/>
    <xf numFmtId="0" fontId="0" fillId="0" borderId="0" xfId="0" pivotButton="1"/>
    <xf numFmtId="9" fontId="0" fillId="0" borderId="0" xfId="0" applyNumberFormat="1"/>
    <xf numFmtId="0" fontId="0" fillId="0" borderId="0" xfId="0" applyAlignment="1">
      <alignment horizontal="left"/>
    </xf>
    <xf numFmtId="165" fontId="0" fillId="0" borderId="0" xfId="0" applyNumberFormat="1"/>
    <xf numFmtId="2" fontId="0" fillId="0" borderId="0" xfId="0" applyNumberFormat="1"/>
    <xf numFmtId="10" fontId="0" fillId="0" borderId="0" xfId="0" applyNumberFormat="1"/>
    <xf numFmtId="3" fontId="0" fillId="0" borderId="0" xfId="0" applyNumberFormat="1"/>
    <xf numFmtId="6" fontId="0" fillId="0" borderId="0" xfId="0" applyNumberFormat="1"/>
    <xf numFmtId="2" fontId="0" fillId="0" borderId="0" xfId="1" applyNumberFormat="1" applyFont="1"/>
  </cellXfs>
  <cellStyles count="2">
    <cellStyle name="Normal" xfId="0" builtinId="0"/>
    <cellStyle name="Percent" xfId="1" builtinId="5"/>
  </cellStyles>
  <dxfs count="18">
    <dxf>
      <numFmt numFmtId="165" formatCode="&quot;₹&quot;\ #,##0"/>
    </dxf>
    <dxf>
      <numFmt numFmtId="165" formatCode="&quot;₹&quot;\ #,##0"/>
    </dxf>
    <dxf>
      <numFmt numFmtId="10" formatCode="&quot;₹&quot;\ #,##0;[Red]&quot;₹&quot;\ \-#,##0"/>
    </dxf>
    <dxf>
      <numFmt numFmtId="10" formatCode="&quot;₹&quot;\ #,##0;[Red]&quot;₹&quot;\ \-#,##0"/>
    </dxf>
    <dxf>
      <numFmt numFmtId="0" formatCode="General"/>
    </dxf>
    <dxf>
      <numFmt numFmtId="165" formatCode="&quot;₹&quot;\ #,##0"/>
    </dxf>
    <dxf>
      <numFmt numFmtId="165" formatCode="&quot;₹&quot;\ #,##0"/>
    </dxf>
    <dxf>
      <numFmt numFmtId="165" formatCode="&quot;₹&quot;\ #,##0"/>
    </dxf>
    <dxf>
      <numFmt numFmtId="165" formatCode="&quot;₹&quot;\ #,##0"/>
    </dxf>
    <dxf>
      <numFmt numFmtId="2" formatCode="0.00"/>
    </dxf>
    <dxf>
      <numFmt numFmtId="2" formatCode="0.00"/>
    </dxf>
    <dxf>
      <numFmt numFmtId="165" formatCode="&quot;₹&quot;\ #,##0"/>
    </dxf>
    <dxf>
      <numFmt numFmtId="165" formatCode="&quot;₹&quot;\ #,##0"/>
    </dxf>
    <dxf>
      <numFmt numFmtId="14" formatCode="0.00%"/>
    </dxf>
    <dxf>
      <numFmt numFmtId="3" formatCode="#,##0"/>
    </dxf>
    <dxf>
      <numFmt numFmtId="3" formatCode="#,##0"/>
    </dxf>
    <dxf>
      <numFmt numFmtId="165" formatCode="&quot;₹&quot;\ #,##0"/>
    </dxf>
    <dxf>
      <numFmt numFmtId="165"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[Book2.xlsx]Kpi's!PivotTable22</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4"/>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
        <c:idx val="6"/>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pivotFmt>
    </c:pivotFmts>
    <c:plotArea>
      <c:layout/>
      <c:lineChart>
        <c:grouping val="standard"/>
        <c:varyColors val="0"/>
        <c:ser>
          <c:idx val="0"/>
          <c:order val="0"/>
          <c:tx>
            <c:strRef>
              <c:f>'Kpi''s'!$C$15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'Kpi''s'!$B$16:$B$20</c:f>
              <c:strCache>
                <c:ptCount val="5"/>
                <c:pt idx="0">
                  <c:v>2019</c:v>
                </c:pt>
                <c:pt idx="1">
                  <c:v>2020</c:v>
                </c:pt>
                <c:pt idx="2">
                  <c:v>2021</c:v>
                </c:pt>
                <c:pt idx="3">
                  <c:v>2022</c:v>
                </c:pt>
                <c:pt idx="4">
                  <c:v>2023</c:v>
                </c:pt>
              </c:strCache>
            </c:strRef>
          </c:cat>
          <c:val>
            <c:numRef>
              <c:f>'Kpi''s'!$C$16:$C$20</c:f>
              <c:numCache>
                <c:formatCode>"₹"\ #,##0</c:formatCode>
                <c:ptCount val="5"/>
                <c:pt idx="0">
                  <c:v>401641.58999999997</c:v>
                </c:pt>
                <c:pt idx="1">
                  <c:v>348009.99</c:v>
                </c:pt>
                <c:pt idx="2">
                  <c:v>564967.00000000012</c:v>
                </c:pt>
                <c:pt idx="3">
                  <c:v>512804.69999999995</c:v>
                </c:pt>
                <c:pt idx="4">
                  <c:v>463864.87</c:v>
                </c:pt>
              </c:numCache>
            </c:numRef>
          </c:val>
          <c:smooth val="0"/>
          <c:extLst>
            <c:ext xmlns:c16="http://schemas.microsoft.com/office/drawing/2014/chart" uri="{C3380CC4-5D6E-409C-BE32-E72D297353CC}">
              <c16:uniqueId val="{00000002-D526-466C-8429-B6CED3B43C7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40826800"/>
        <c:axId val="440836400"/>
      </c:lineChart>
      <c:catAx>
        <c:axId val="440826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40836400"/>
        <c:crosses val="autoZero"/>
        <c:auto val="1"/>
        <c:lblAlgn val="ctr"/>
        <c:lblOffset val="100"/>
        <c:noMultiLvlLbl val="0"/>
      </c:catAx>
      <c:valAx>
        <c:axId val="440836400"/>
        <c:scaling>
          <c:orientation val="minMax"/>
        </c:scaling>
        <c:delete val="1"/>
        <c:axPos val="l"/>
        <c:numFmt formatCode="&quot;₹&quot;\ #,##0" sourceLinked="1"/>
        <c:majorTickMark val="none"/>
        <c:minorTickMark val="none"/>
        <c:tickLblPos val="nextTo"/>
        <c:crossAx val="44082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[Book2.xlsx]Kpi's!PivotTable24</c:name>
    <c:fmtId val="3"/>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'Kpi''s'!$C$31</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'Kpi''s'!$B$32:$B$37</c:f>
              <c:strCache>
                <c:ptCount val="6"/>
                <c:pt idx="0">
                  <c:v>Dairy Products</c:v>
                </c:pt>
                <c:pt idx="1">
                  <c:v>Electric Appliances</c:v>
                </c:pt>
                <c:pt idx="2">
                  <c:v>Fast Food</c:v>
                </c:pt>
                <c:pt idx="3">
                  <c:v>Fruits &amp; Vegetables</c:v>
                </c:pt>
                <c:pt idx="4">
                  <c:v>Furniture</c:v>
                </c:pt>
                <c:pt idx="5">
                  <c:v>Household Items</c:v>
                </c:pt>
              </c:strCache>
            </c:strRef>
          </c:cat>
          <c:val>
            <c:numRef>
              <c:f>'Kpi''s'!$C$32:$C$37</c:f>
              <c:numCache>
                <c:formatCode>"₹"\ #,##0</c:formatCode>
                <c:ptCount val="6"/>
                <c:pt idx="0">
                  <c:v>86433.26999999999</c:v>
                </c:pt>
                <c:pt idx="1">
                  <c:v>64003.19</c:v>
                </c:pt>
                <c:pt idx="2">
                  <c:v>56810.47</c:v>
                </c:pt>
                <c:pt idx="3">
                  <c:v>30306.579999999998</c:v>
                </c:pt>
                <c:pt idx="4">
                  <c:v>39520.9</c:v>
                </c:pt>
                <c:pt idx="5">
                  <c:v>53114.13</c:v>
                </c:pt>
              </c:numCache>
            </c:numRef>
          </c:val>
          <c:extLst>
            <c:ext xmlns:c16="http://schemas.microsoft.com/office/drawing/2014/chart" uri="{C3380CC4-5D6E-409C-BE32-E72D297353CC}">
              <c16:uniqueId val="{00000000-D8C5-4CF7-BC81-746B59FFA70E}"/>
            </c:ext>
          </c:extLst>
        </c:ser>
        <c:dLbls>
          <c:showLegendKey val="0"/>
          <c:showVal val="0"/>
          <c:showCatName val="0"/>
          <c:showSerName val="0"/>
          <c:showPercent val="0"/>
          <c:showBubbleSize val="0"/>
        </c:dLbls>
        <c:gapWidth val="219"/>
        <c:axId val="702789712"/>
        <c:axId val="431441088"/>
      </c:barChart>
      <c:lineChart>
        <c:grouping val="standard"/>
        <c:varyColors val="0"/>
        <c:ser>
          <c:idx val="1"/>
          <c:order val="1"/>
          <c:tx>
            <c:strRef>
              <c:f>'Kpi''s'!$D$31</c:f>
              <c:strCache>
                <c:ptCount val="1"/>
                <c:pt idx="0">
                  <c:v>Sum of Discount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'Kpi''s'!$B$32:$B$37</c:f>
              <c:strCache>
                <c:ptCount val="6"/>
                <c:pt idx="0">
                  <c:v>Dairy Products</c:v>
                </c:pt>
                <c:pt idx="1">
                  <c:v>Electric Appliances</c:v>
                </c:pt>
                <c:pt idx="2">
                  <c:v>Fast Food</c:v>
                </c:pt>
                <c:pt idx="3">
                  <c:v>Fruits &amp; Vegetables</c:v>
                </c:pt>
                <c:pt idx="4">
                  <c:v>Furniture</c:v>
                </c:pt>
                <c:pt idx="5">
                  <c:v>Household Items</c:v>
                </c:pt>
              </c:strCache>
            </c:strRef>
          </c:cat>
          <c:val>
            <c:numRef>
              <c:f>'Kpi''s'!$D$32:$D$37</c:f>
              <c:numCache>
                <c:formatCode>0.00</c:formatCode>
                <c:ptCount val="6"/>
                <c:pt idx="0">
                  <c:v>6.27</c:v>
                </c:pt>
                <c:pt idx="1">
                  <c:v>5.4499999999999993</c:v>
                </c:pt>
                <c:pt idx="2">
                  <c:v>3.4899999999999998</c:v>
                </c:pt>
                <c:pt idx="3">
                  <c:v>3.0900000000000003</c:v>
                </c:pt>
                <c:pt idx="4">
                  <c:v>2.87</c:v>
                </c:pt>
                <c:pt idx="5">
                  <c:v>4.88</c:v>
                </c:pt>
              </c:numCache>
            </c:numRef>
          </c:val>
          <c:smooth val="0"/>
          <c:extLst>
            <c:ext xmlns:c16="http://schemas.microsoft.com/office/drawing/2014/chart" uri="{C3380CC4-5D6E-409C-BE32-E72D297353CC}">
              <c16:uniqueId val="{00000003-D8C5-4CF7-BC81-746B59FFA70E}"/>
            </c:ext>
          </c:extLst>
        </c:ser>
        <c:dLbls>
          <c:showLegendKey val="0"/>
          <c:showVal val="0"/>
          <c:showCatName val="0"/>
          <c:showSerName val="0"/>
          <c:showPercent val="0"/>
          <c:showBubbleSize val="0"/>
        </c:dLbls>
        <c:marker val="1"/>
        <c:smooth val="0"/>
        <c:axId val="966353456"/>
        <c:axId val="697846928"/>
      </c:lineChart>
      <c:catAx>
        <c:axId val="702789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1441088"/>
        <c:crosses val="autoZero"/>
        <c:auto val="1"/>
        <c:lblAlgn val="ctr"/>
        <c:lblOffset val="100"/>
        <c:noMultiLvlLbl val="0"/>
      </c:catAx>
      <c:valAx>
        <c:axId val="431441088"/>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789712"/>
        <c:crosses val="autoZero"/>
        <c:crossBetween val="between"/>
      </c:valAx>
      <c:valAx>
        <c:axId val="69784692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353456"/>
        <c:crosses val="max"/>
        <c:crossBetween val="between"/>
      </c:valAx>
      <c:catAx>
        <c:axId val="966353456"/>
        <c:scaling>
          <c:orientation val="minMax"/>
        </c:scaling>
        <c:delete val="1"/>
        <c:axPos val="b"/>
        <c:numFmt formatCode="General" sourceLinked="1"/>
        <c:majorTickMark val="none"/>
        <c:minorTickMark val="none"/>
        <c:tickLblPos val="nextTo"/>
        <c:crossAx val="697846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bar"/>
        <c:grouping val="clustered"/>
        <c:varyColors val="0"/>
        <c:ser>
          <c:idx val="0"/>
          <c:order val="0"/>
          <c:tx>
            <c:strRef>
              <c:f>'Kpi''s'!$C$46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62FD-4F63-8634-619425C7845A}"/>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4-62FD-4F63-8634-619425C7845A}"/>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62FD-4F63-8634-619425C7845A}"/>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2-62FD-4F63-8634-619425C784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'Kpi''s'!$B$47:$B$50</c:f>
              <c:strCache>
                <c:ptCount val="4"/>
                <c:pt idx="0">
                  <c:v>West</c:v>
                </c:pt>
                <c:pt idx="1">
                  <c:v>South</c:v>
                </c:pt>
                <c:pt idx="2">
                  <c:v>North</c:v>
                </c:pt>
                <c:pt idx="3">
                  <c:v>East</c:v>
                </c:pt>
              </c:strCache>
            </c:strRef>
          </c:cat>
          <c:val>
            <c:numRef>
              <c:f>'Kpi''s'!$C$47:$C$50</c:f>
              <c:numCache>
                <c:formatCode>"₹"#,##0_);[Red]\("₹"#,##0\)</c:formatCode>
                <c:ptCount val="4"/>
                <c:pt idx="0">
                  <c:v>89228.830000000016</c:v>
                </c:pt>
                <c:pt idx="1">
                  <c:v>97095.169999999984</c:v>
                </c:pt>
                <c:pt idx="2">
                  <c:v>85841.62999999999</c:v>
                </c:pt>
                <c:pt idx="3">
                  <c:v>58022.91</c:v>
                </c:pt>
              </c:numCache>
            </c:numRef>
          </c:val>
          <c:extLst>
            <c:ext xmlns:c16="http://schemas.microsoft.com/office/drawing/2014/chart" uri="{C3380CC4-5D6E-409C-BE32-E72D297353CC}">
              <c16:uniqueId val="{00000000-62FD-4F63-8634-619425C7845A}"/>
            </c:ext>
          </c:extLst>
        </c:ser>
        <c:dLbls>
          <c:showLegendKey val="0"/>
          <c:showVal val="0"/>
          <c:showCatName val="0"/>
          <c:showSerName val="0"/>
          <c:showPercent val="0"/>
          <c:showBubbleSize val="0"/>
        </c:dLbls>
        <c:gapWidth val="100"/>
        <c:axId val="752670735"/>
        <c:axId val="752671695"/>
      </c:barChart>
      <c:valAx>
        <c:axId val="752671695"/>
        <c:scaling>
          <c:orientation val="minMax"/>
        </c:scaling>
        <c:delete val="1"/>
        <c:axPos val="b"/>
        <c:numFmt formatCode="&quot;₹&quot;#,##0_);[Red]\(&quot;₹&quot;#,##0\)" sourceLinked="1"/>
        <c:majorTickMark val="out"/>
        <c:minorTickMark val="none"/>
        <c:tickLblPos val="nextTo"/>
        <c:crossAx val="752670735"/>
        <c:crosses val="autoZero"/>
        <c:crossBetween val="between"/>
      </c:valAx>
      <c:catAx>
        <c:axId val="752670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2671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[Book2.xlsx]Kpi's!PivotTable27</c:name>
    <c:fmtId val="4"/>
  </c:pivotSource>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'Kpi''s'!$C$61</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'Kpi''s'!$B$62:$B$71</c:f>
              <c:strCache>
                <c:ptCount val="10"/>
                <c:pt idx="0">
                  <c:v>Tamil Nadu</c:v>
                </c:pt>
                <c:pt idx="1">
                  <c:v>Madhya Pradesh</c:v>
                </c:pt>
                <c:pt idx="2">
                  <c:v>Delhi</c:v>
                </c:pt>
                <c:pt idx="3">
                  <c:v>Maharashtra</c:v>
                </c:pt>
                <c:pt idx="4">
                  <c:v>Rajasthan</c:v>
                </c:pt>
                <c:pt idx="5">
                  <c:v>Uttar Pradesh</c:v>
                </c:pt>
                <c:pt idx="6">
                  <c:v>Punjab</c:v>
                </c:pt>
                <c:pt idx="7">
                  <c:v>Gujarat</c:v>
                </c:pt>
                <c:pt idx="8">
                  <c:v>West Bengal</c:v>
                </c:pt>
                <c:pt idx="9">
                  <c:v>Karnataka</c:v>
                </c:pt>
              </c:strCache>
            </c:strRef>
          </c:cat>
          <c:val>
            <c:numRef>
              <c:f>'Kpi''s'!$C$62:$C$71</c:f>
              <c:numCache>
                <c:formatCode>"₹"\ #,##0</c:formatCode>
                <c:ptCount val="10"/>
                <c:pt idx="0">
                  <c:v>60427.399999999994</c:v>
                </c:pt>
                <c:pt idx="1">
                  <c:v>95448.670000000013</c:v>
                </c:pt>
                <c:pt idx="2">
                  <c:v>95919.150000000009</c:v>
                </c:pt>
                <c:pt idx="3">
                  <c:v>223852.65</c:v>
                </c:pt>
                <c:pt idx="4">
                  <c:v>243762.3</c:v>
                </c:pt>
                <c:pt idx="5">
                  <c:v>248872</c:v>
                </c:pt>
                <c:pt idx="6">
                  <c:v>274550.37999999995</c:v>
                </c:pt>
                <c:pt idx="7">
                  <c:v>287758.06</c:v>
                </c:pt>
                <c:pt idx="8">
                  <c:v>323350.57000000007</c:v>
                </c:pt>
                <c:pt idx="9">
                  <c:v>437346.97</c:v>
                </c:pt>
              </c:numCache>
            </c:numRef>
          </c:val>
          <c:extLst>
            <c:ext xmlns:c16="http://schemas.microsoft.com/office/drawing/2014/chart" uri="{C3380CC4-5D6E-409C-BE32-E72D297353CC}">
              <c16:uniqueId val="{00000000-F50F-40E3-8960-0CA9632A1C98}"/>
            </c:ext>
          </c:extLst>
        </c:ser>
        <c:dLbls>
          <c:dLblPos val="inEnd"/>
          <c:showLegendKey val="0"/>
          <c:showVal val="1"/>
          <c:showCatName val="0"/>
          <c:showSerName val="0"/>
          <c:showPercent val="0"/>
          <c:showBubbleSize val="0"/>
        </c:dLbls>
        <c:gapWidth val="41"/>
        <c:axId val="697855136"/>
        <c:axId val="697853696"/>
      </c:barChart>
      <c:catAx>
        <c:axId val="69785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697853696"/>
        <c:crosses val="autoZero"/>
        <c:auto val="1"/>
        <c:lblAlgn val="ctr"/>
        <c:lblOffset val="100"/>
        <c:noMultiLvlLbl val="0"/>
      </c:catAx>
      <c:valAx>
        <c:axId val="697853696"/>
        <c:scaling>
          <c:orientation val="minMax"/>
        </c:scaling>
        <c:delete val="1"/>
        <c:axPos val="b"/>
        <c:numFmt formatCode="&quot;₹&quot;\ #,##0" sourceLinked="1"/>
        <c:majorTickMark val="none"/>
        <c:minorTickMark val="none"/>
        <c:tickLblPos val="nextTo"/>
        <c:crossAx val="69785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[Book2.xlsx]Kpi's!PivotTable1</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'Kpi''s'!$C$80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30-4E51-A8F0-D42F77C8B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0-4E51-A8F0-D42F77C8B4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30-4E51-A8F0-D42F77C8B4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30-4E51-A8F0-D42F77C8B4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30-4E51-A8F0-D42F77C8B47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930-4E51-A8F0-D42F77C8B4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'Kpi''s'!$B$81:$B$86</c:f>
              <c:strCache>
                <c:ptCount val="6"/>
                <c:pt idx="0">
                  <c:v>Dairy Products</c:v>
                </c:pt>
                <c:pt idx="1">
                  <c:v>Electric Appliances</c:v>
                </c:pt>
                <c:pt idx="2">
                  <c:v>Fast Food</c:v>
                </c:pt>
                <c:pt idx="3">
                  <c:v>Fruits &amp; Vegetables</c:v>
                </c:pt>
                <c:pt idx="4">
                  <c:v>Furniture</c:v>
                </c:pt>
                <c:pt idx="5">
                  <c:v>Household Items</c:v>
                </c:pt>
              </c:strCache>
            </c:strRef>
          </c:cat>
          <c:val>
            <c:numRef>
              <c:f>'Kpi''s'!$C$81:$C$86</c:f>
              <c:numCache>
                <c:formatCode>0.00%</c:formatCode>
                <c:ptCount val="6"/>
                <c:pt idx="0">
                  <c:v>0.25576923076923075</c:v>
                </c:pt>
                <c:pt idx="1">
                  <c:v>0.20384615384615384</c:v>
                </c:pt>
                <c:pt idx="2">
                  <c:v>0.125</c:v>
                </c:pt>
                <c:pt idx="3">
                  <c:v>0.14038461538461539</c:v>
                </c:pt>
                <c:pt idx="4">
                  <c:v>0.10961538461538461</c:v>
                </c:pt>
                <c:pt idx="5">
                  <c:v>0.16538461538461538</c:v>
                </c:pt>
              </c:numCache>
            </c:numRef>
          </c:val>
          <c:extLst>
            <c:ext xmlns:c16="http://schemas.microsoft.com/office/drawing/2014/chart" uri="{C3380CC4-5D6E-409C-BE32-E72D297353CC}">
              <c16:uniqueId val="{00000000-FAF8-44EC-8D83-33CA4C10BB8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c:name>
    <c:fmtId val="1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'Kpi''s'!$C$98</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'Kpi''s'!$B$99:$B$104</c:f>
              <c:strCache>
                <c:ptCount val="6"/>
                <c:pt idx="0">
                  <c:v>Dairy Products</c:v>
                </c:pt>
                <c:pt idx="1">
                  <c:v>Electric Appliances</c:v>
                </c:pt>
                <c:pt idx="2">
                  <c:v>Fast Food</c:v>
                </c:pt>
                <c:pt idx="3">
                  <c:v>Fruits &amp; Vegetables</c:v>
                </c:pt>
                <c:pt idx="4">
                  <c:v>Furniture</c:v>
                </c:pt>
                <c:pt idx="5">
                  <c:v>Household Items</c:v>
                </c:pt>
              </c:strCache>
            </c:strRef>
          </c:cat>
          <c:val>
            <c:numRef>
              <c:f>'Kpi''s'!$C$99:$C$104</c:f>
              <c:numCache>
                <c:formatCode>"₹"\ #,##0</c:formatCode>
                <c:ptCount val="6"/>
                <c:pt idx="0">
                  <c:v>604528.86999999988</c:v>
                </c:pt>
                <c:pt idx="1">
                  <c:v>434565.71999999991</c:v>
                </c:pt>
                <c:pt idx="2">
                  <c:v>368886.47000000003</c:v>
                </c:pt>
                <c:pt idx="3">
                  <c:v>239417.86999999997</c:v>
                </c:pt>
                <c:pt idx="4">
                  <c:v>286908.98</c:v>
                </c:pt>
                <c:pt idx="5">
                  <c:v>356980.24000000005</c:v>
                </c:pt>
              </c:numCache>
            </c:numRef>
          </c:val>
          <c:extLst>
            <c:ext xmlns:c16="http://schemas.microsoft.com/office/drawing/2014/chart" uri="{C3380CC4-5D6E-409C-BE32-E72D297353CC}">
              <c16:uniqueId val="{00000000-D195-4285-AF0C-B5BA64B3577C}"/>
            </c:ext>
          </c:extLst>
        </c:ser>
        <c:ser>
          <c:idx val="1"/>
          <c:order val="1"/>
          <c:tx>
            <c:strRef>
              <c:f>'Kpi''s'!$D$98</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'Kpi''s'!$B$99:$B$104</c:f>
              <c:strCache>
                <c:ptCount val="6"/>
                <c:pt idx="0">
                  <c:v>Dairy Products</c:v>
                </c:pt>
                <c:pt idx="1">
                  <c:v>Electric Appliances</c:v>
                </c:pt>
                <c:pt idx="2">
                  <c:v>Fast Food</c:v>
                </c:pt>
                <c:pt idx="3">
                  <c:v>Fruits &amp; Vegetables</c:v>
                </c:pt>
                <c:pt idx="4">
                  <c:v>Furniture</c:v>
                </c:pt>
                <c:pt idx="5">
                  <c:v>Household Items</c:v>
                </c:pt>
              </c:strCache>
            </c:strRef>
          </c:cat>
          <c:val>
            <c:numRef>
              <c:f>'Kpi''s'!$D$99:$D$104</c:f>
              <c:numCache>
                <c:formatCode>"₹"\ #,##0</c:formatCode>
                <c:ptCount val="6"/>
                <c:pt idx="0">
                  <c:v>86433.26999999999</c:v>
                </c:pt>
                <c:pt idx="1">
                  <c:v>64003.19</c:v>
                </c:pt>
                <c:pt idx="2">
                  <c:v>56810.47</c:v>
                </c:pt>
                <c:pt idx="3">
                  <c:v>30306.579999999998</c:v>
                </c:pt>
                <c:pt idx="4">
                  <c:v>39520.9</c:v>
                </c:pt>
                <c:pt idx="5">
                  <c:v>53114.13</c:v>
                </c:pt>
              </c:numCache>
            </c:numRef>
          </c:val>
          <c:extLst>
            <c:ext xmlns:c16="http://schemas.microsoft.com/office/drawing/2014/chart" uri="{C3380CC4-5D6E-409C-BE32-E72D297353CC}">
              <c16:uniqueId val="{00000001-D195-4285-AF0C-B5BA64B3577C}"/>
            </c:ext>
          </c:extLst>
        </c:ser>
        <c:dLbls>
          <c:showLegendKey val="0"/>
          <c:showVal val="0"/>
          <c:showCatName val="0"/>
          <c:showSerName val="0"/>
          <c:showPercent val="0"/>
          <c:showBubbleSize val="0"/>
        </c:dLbls>
        <c:gapWidth val="100"/>
        <c:overlap val="-24"/>
        <c:axId val="702987135"/>
        <c:axId val="702990975"/>
      </c:barChart>
      <c:catAx>
        <c:axId val="702987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990975"/>
        <c:crosses val="autoZero"/>
        <c:auto val="1"/>
        <c:lblAlgn val="ctr"/>
        <c:lblOffset val="100"/>
        <c:noMultiLvlLbl val="0"/>
      </c:catAx>
      <c:valAx>
        <c:axId val="702990975"/>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298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[Book2.xlsx]Kpi's!PivotTable22</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'Kpi''s'!$C$15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'Kpi''s'!$B$16:$B$20</c:f>
              <c:strCache>
                <c:ptCount val="5"/>
                <c:pt idx="0">
                  <c:v>2019</c:v>
                </c:pt>
                <c:pt idx="1">
                  <c:v>2020</c:v>
                </c:pt>
                <c:pt idx="2">
                  <c:v>2021</c:v>
                </c:pt>
                <c:pt idx="3">
                  <c:v>2022</c:v>
                </c:pt>
                <c:pt idx="4">
                  <c:v>2023</c:v>
                </c:pt>
              </c:strCache>
            </c:strRef>
          </c:cat>
          <c:val>
            <c:numRef>
              <c:f>'Kpi''s'!$C$16:$C$20</c:f>
              <c:numCache>
                <c:formatCode>"₹"\ #,##0</c:formatCode>
                <c:ptCount val="5"/>
                <c:pt idx="0">
                  <c:v>401641.58999999997</c:v>
                </c:pt>
                <c:pt idx="1">
                  <c:v>348009.99</c:v>
                </c:pt>
                <c:pt idx="2">
                  <c:v>564967.00000000012</c:v>
                </c:pt>
                <c:pt idx="3">
                  <c:v>512804.69999999995</c:v>
                </c:pt>
                <c:pt idx="4">
                  <c:v>463864.87</c:v>
                </c:pt>
              </c:numCache>
            </c:numRef>
          </c:val>
          <c:smooth val="0"/>
          <c:extLst>
            <c:ext xmlns:c16="http://schemas.microsoft.com/office/drawing/2014/chart" uri="{C3380CC4-5D6E-409C-BE32-E72D297353CC}">
              <c16:uniqueId val="{00000000-3B06-4B9B-8426-3B852B3D721D}"/>
            </c:ext>
          </c:extLst>
        </c:ser>
        <c:dLbls>
          <c:dLblPos val="ctr"/>
          <c:showLegendKey val="0"/>
          <c:showVal val="1"/>
          <c:showCatName val="0"/>
          <c:showSerName val="0"/>
          <c:showPercent val="0"/>
          <c:showBubbleSize val="0"/>
        </c:dLbls>
        <c:marker val="1"/>
        <c:smooth val="0"/>
        <c:axId val="440826800"/>
        <c:axId val="440836400"/>
      </c:lineChart>
      <c:catAx>
        <c:axId val="44082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40836400"/>
        <c:crosses val="autoZero"/>
        <c:auto val="1"/>
        <c:lblAlgn val="ctr"/>
        <c:lblOffset val="100"/>
        <c:noMultiLvlLbl val="0"/>
      </c:catAx>
      <c:valAx>
        <c:axId val="440836400"/>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4082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[Book2.xlsx]Kpi's!PivotTable24</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15875" cap="rnd">
            <a:solidFill>
              <a:schemeClr val="accent1"/>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'Kpi''s'!$C$31</c:f>
              <c:strCache>
                <c:ptCount val="1"/>
                <c:pt idx="0">
                  <c:v>Sum of Profit</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'Kpi''s'!$B$32:$B$37</c:f>
              <c:strCache>
                <c:ptCount val="6"/>
                <c:pt idx="0">
                  <c:v>Dairy Products</c:v>
                </c:pt>
                <c:pt idx="1">
                  <c:v>Electric Appliances</c:v>
                </c:pt>
                <c:pt idx="2">
                  <c:v>Fast Food</c:v>
                </c:pt>
                <c:pt idx="3">
                  <c:v>Fruits &amp; Vegetables</c:v>
                </c:pt>
                <c:pt idx="4">
                  <c:v>Furniture</c:v>
                </c:pt>
                <c:pt idx="5">
                  <c:v>Household Items</c:v>
                </c:pt>
              </c:strCache>
            </c:strRef>
          </c:cat>
          <c:val>
            <c:numRef>
              <c:f>'Kpi''s'!$C$32:$C$37</c:f>
              <c:numCache>
                <c:formatCode>"₹"\ #,##0</c:formatCode>
                <c:ptCount val="6"/>
                <c:pt idx="0">
                  <c:v>86433.26999999999</c:v>
                </c:pt>
                <c:pt idx="1">
                  <c:v>64003.19</c:v>
                </c:pt>
                <c:pt idx="2">
                  <c:v>56810.47</c:v>
                </c:pt>
                <c:pt idx="3">
                  <c:v>30306.579999999998</c:v>
                </c:pt>
                <c:pt idx="4">
                  <c:v>39520.9</c:v>
                </c:pt>
                <c:pt idx="5">
                  <c:v>53114.13</c:v>
                </c:pt>
              </c:numCache>
            </c:numRef>
          </c:val>
          <c:extLst>
            <c:ext xmlns:c16="http://schemas.microsoft.com/office/drawing/2014/chart" uri="{C3380CC4-5D6E-409C-BE32-E72D297353CC}">
              <c16:uniqueId val="{00000000-A750-4CCD-88BB-C1F000070454}"/>
            </c:ext>
          </c:extLst>
        </c:ser>
        <c:dLbls>
          <c:showLegendKey val="0"/>
          <c:showVal val="0"/>
          <c:showCatName val="0"/>
          <c:showSerName val="0"/>
          <c:showPercent val="0"/>
          <c:showBubbleSize val="0"/>
        </c:dLbls>
        <c:gapWidth val="219"/>
        <c:axId val="702789712"/>
        <c:axId val="431441088"/>
      </c:barChart>
      <c:lineChart>
        <c:grouping val="standard"/>
        <c:varyColors val="0"/>
        <c:ser>
          <c:idx val="1"/>
          <c:order val="1"/>
          <c:tx>
            <c:strRef>
              <c:f>'Kpi''s'!$D$31</c:f>
              <c:strCache>
                <c:ptCount val="1"/>
                <c:pt idx="0">
                  <c:v>Sum of Discount</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'Kpi''s'!$B$32:$B$37</c:f>
              <c:strCache>
                <c:ptCount val="6"/>
                <c:pt idx="0">
                  <c:v>Dairy Products</c:v>
                </c:pt>
                <c:pt idx="1">
                  <c:v>Electric Appliances</c:v>
                </c:pt>
                <c:pt idx="2">
                  <c:v>Fast Food</c:v>
                </c:pt>
                <c:pt idx="3">
                  <c:v>Fruits &amp; Vegetables</c:v>
                </c:pt>
                <c:pt idx="4">
                  <c:v>Furniture</c:v>
                </c:pt>
                <c:pt idx="5">
                  <c:v>Household Items</c:v>
                </c:pt>
              </c:strCache>
            </c:strRef>
          </c:cat>
          <c:val>
            <c:numRef>
              <c:f>'Kpi''s'!$D$32:$D$37</c:f>
              <c:numCache>
                <c:formatCode>0.00</c:formatCode>
                <c:ptCount val="6"/>
                <c:pt idx="0">
                  <c:v>6.27</c:v>
                </c:pt>
                <c:pt idx="1">
                  <c:v>5.4499999999999993</c:v>
                </c:pt>
                <c:pt idx="2">
                  <c:v>3.4899999999999998</c:v>
                </c:pt>
                <c:pt idx="3">
                  <c:v>3.0900000000000003</c:v>
                </c:pt>
                <c:pt idx="4">
                  <c:v>2.87</c:v>
                </c:pt>
                <c:pt idx="5">
                  <c:v>4.88</c:v>
                </c:pt>
              </c:numCache>
            </c:numRef>
          </c:val>
          <c:smooth val="0"/>
          <c:extLst>
            <c:ext xmlns:c16="http://schemas.microsoft.com/office/drawing/2014/chart" uri="{C3380CC4-5D6E-409C-BE32-E72D297353CC}">
              <c16:uniqueId val="{00000001-A750-4CCD-88BB-C1F000070454}"/>
            </c:ext>
          </c:extLst>
        </c:ser>
        <c:dLbls>
          <c:showLegendKey val="0"/>
          <c:showVal val="0"/>
          <c:showCatName val="0"/>
          <c:showSerName val="0"/>
          <c:showPercent val="0"/>
          <c:showBubbleSize val="0"/>
        </c:dLbls>
        <c:marker val="1"/>
        <c:smooth val="0"/>
        <c:axId val="966353456"/>
        <c:axId val="697846928"/>
      </c:lineChart>
      <c:catAx>
        <c:axId val="70278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431441088"/>
        <c:crosses val="autoZero"/>
        <c:auto val="1"/>
        <c:lblAlgn val="ctr"/>
        <c:lblOffset val="100"/>
        <c:noMultiLvlLbl val="0"/>
      </c:catAx>
      <c:valAx>
        <c:axId val="431441088"/>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02789712"/>
        <c:crosses val="autoZero"/>
        <c:crossBetween val="between"/>
      </c:valAx>
      <c:valAx>
        <c:axId val="69784692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966353456"/>
        <c:crosses val="max"/>
        <c:crossBetween val="between"/>
      </c:valAx>
      <c:catAx>
        <c:axId val="966353456"/>
        <c:scaling>
          <c:orientation val="minMax"/>
        </c:scaling>
        <c:delete val="1"/>
        <c:axPos val="b"/>
        <c:numFmt formatCode="General" sourceLinked="1"/>
        <c:majorTickMark val="none"/>
        <c:minorTickMark val="none"/>
        <c:tickLblPos val="nextTo"/>
        <c:crossAx val="6978469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[Book2.xlsx]Kpi's!PivotTable1</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2645686775300075"/>
              <c:y val="-7.1143643404158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04351121457151"/>
              <c:y val="0.10671546510623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83916009311436"/>
              <c:y val="0.160073197659355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8282822894714818E-2"/>
              <c:y val="0.130430012907622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1742423434207223"/>
              <c:y val="-2.96431847517325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2645686775300086"/>
              <c:y val="-0.106715465106236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'Kpi''s'!$C$80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2F-4C20-9D03-AC9FE7AA4E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2F-4C20-9D03-AC9FE7AA4E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2F-4C20-9D03-AC9FE7AA4E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2F-4C20-9D03-AC9FE7AA4E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2F-4C20-9D03-AC9FE7AA4E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72F-4C20-9D03-AC9FE7AA4EEF}"/>
              </c:ext>
            </c:extLst>
          </c:dPt>
          <c:dLbls>
            <c:dLbl>
              <c:idx val="0"/>
              <c:layout>
                <c:manualLayout>
                  <c:x val="0.12645686775300075"/>
                  <c:y val="-7.11436434041580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2F-4C20-9D03-AC9FE7AA4EEF}"/>
                </c:ext>
              </c:extLst>
            </c:dLbl>
            <c:dLbl>
              <c:idx val="1"/>
              <c:layout>
                <c:manualLayout>
                  <c:x val="0.1204351121457151"/>
                  <c:y val="0.10671546510623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2F-4C20-9D03-AC9FE7AA4EEF}"/>
                </c:ext>
              </c:extLst>
            </c:dLbl>
            <c:dLbl>
              <c:idx val="2"/>
              <c:layout>
                <c:manualLayout>
                  <c:x val="0.1083916009311436"/>
                  <c:y val="0.160073197659355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2F-4C20-9D03-AC9FE7AA4EEF}"/>
                </c:ext>
              </c:extLst>
            </c:dLbl>
            <c:dLbl>
              <c:idx val="3"/>
              <c:layout>
                <c:manualLayout>
                  <c:x val="-7.8282822894714818E-2"/>
                  <c:y val="0.13043001290762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2F-4C20-9D03-AC9FE7AA4EEF}"/>
                </c:ext>
              </c:extLst>
            </c:dLbl>
            <c:dLbl>
              <c:idx val="4"/>
              <c:layout>
                <c:manualLayout>
                  <c:x val="-0.11742423434207223"/>
                  <c:y val="-2.96431847517325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2F-4C20-9D03-AC9FE7AA4EEF}"/>
                </c:ext>
              </c:extLst>
            </c:dLbl>
            <c:dLbl>
              <c:idx val="5"/>
              <c:layout>
                <c:manualLayout>
                  <c:x val="-0.12645686775300086"/>
                  <c:y val="-0.106715465106236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2F-4C20-9D03-AC9FE7AA4EE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'Kpi''s'!$B$81:$B$86</c:f>
              <c:strCache>
                <c:ptCount val="6"/>
                <c:pt idx="0">
                  <c:v>Dairy Products</c:v>
                </c:pt>
                <c:pt idx="1">
                  <c:v>Electric Appliances</c:v>
                </c:pt>
                <c:pt idx="2">
                  <c:v>Fast Food</c:v>
                </c:pt>
                <c:pt idx="3">
                  <c:v>Fruits &amp; Vegetables</c:v>
                </c:pt>
                <c:pt idx="4">
                  <c:v>Furniture</c:v>
                </c:pt>
                <c:pt idx="5">
                  <c:v>Household Items</c:v>
                </c:pt>
              </c:strCache>
            </c:strRef>
          </c:cat>
          <c:val>
            <c:numRef>
              <c:f>'Kpi''s'!$C$81:$C$86</c:f>
              <c:numCache>
                <c:formatCode>0.00%</c:formatCode>
                <c:ptCount val="6"/>
                <c:pt idx="0">
                  <c:v>0.25576923076923075</c:v>
                </c:pt>
                <c:pt idx="1">
                  <c:v>0.20384615384615384</c:v>
                </c:pt>
                <c:pt idx="2">
                  <c:v>0.125</c:v>
                </c:pt>
                <c:pt idx="3">
                  <c:v>0.14038461538461539</c:v>
                </c:pt>
                <c:pt idx="4">
                  <c:v>0.10961538461538461</c:v>
                </c:pt>
                <c:pt idx="5">
                  <c:v>0.16538461538461538</c:v>
                </c:pt>
              </c:numCache>
            </c:numRef>
          </c:val>
          <c:extLst>
            <c:ext xmlns:c16="http://schemas.microsoft.com/office/drawing/2014/chart" uri="{C3380CC4-5D6E-409C-BE32-E72D297353CC}">
              <c16:uniqueId val="{0000000C-D72F-4C20-9D03-AC9FE7AA4EE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c:name>
    <c:fmtId val="1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pivotFmt>
    </c:pivotFmts>
    <c:plotArea>
      <c:layout/>
      <c:barChart>
        <c:barDir val="col"/>
        <c:grouping val="clustered"/>
        <c:varyColors val="0"/>
        <c:ser>
          <c:idx val="0"/>
          <c:order val="0"/>
          <c:tx>
            <c:strRef>
              <c:f>'Kpi''s'!$C$98</c:f>
              <c:strCache>
                <c:ptCount val="1"/>
                <c:pt idx="0">
                  <c:v>Sum of Sales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'Kpi''s'!$B$99:$B$104</c:f>
              <c:strCache>
                <c:ptCount val="6"/>
                <c:pt idx="0">
                  <c:v>Dairy Products</c:v>
                </c:pt>
                <c:pt idx="1">
                  <c:v>Electric Appliances</c:v>
                </c:pt>
                <c:pt idx="2">
                  <c:v>Fast Food</c:v>
                </c:pt>
                <c:pt idx="3">
                  <c:v>Fruits &amp; Vegetables</c:v>
                </c:pt>
                <c:pt idx="4">
                  <c:v>Furniture</c:v>
                </c:pt>
                <c:pt idx="5">
                  <c:v>Household Items</c:v>
                </c:pt>
              </c:strCache>
            </c:strRef>
          </c:cat>
          <c:val>
            <c:numRef>
              <c:f>'Kpi''s'!$C$99:$C$104</c:f>
              <c:numCache>
                <c:formatCode>"₹"\ #,##0</c:formatCode>
                <c:ptCount val="6"/>
                <c:pt idx="0">
                  <c:v>604528.86999999988</c:v>
                </c:pt>
                <c:pt idx="1">
                  <c:v>434565.71999999991</c:v>
                </c:pt>
                <c:pt idx="2">
                  <c:v>368886.47000000003</c:v>
                </c:pt>
                <c:pt idx="3">
                  <c:v>239417.86999999997</c:v>
                </c:pt>
                <c:pt idx="4">
                  <c:v>286908.98</c:v>
                </c:pt>
                <c:pt idx="5">
                  <c:v>356980.24000000005</c:v>
                </c:pt>
              </c:numCache>
            </c:numRef>
          </c:val>
          <c:extLst>
            <c:ext xmlns:c16="http://schemas.microsoft.com/office/drawing/2014/chart" uri="{C3380CC4-5D6E-409C-BE32-E72D297353CC}">
              <c16:uniqueId val="{00000000-69D7-41AD-AFEE-1E46F8A26A70}"/>
            </c:ext>
          </c:extLst>
        </c:ser>
        <c:ser>
          <c:idx val="1"/>
          <c:order val="1"/>
          <c:tx>
            <c:strRef>
              <c:f>'Kpi''s'!$D$98</c:f>
              <c:strCache>
                <c:ptCount val="1"/>
                <c:pt idx="0">
                  <c:v>Sum of Profit</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'Kpi''s'!$B$99:$B$104</c:f>
              <c:strCache>
                <c:ptCount val="6"/>
                <c:pt idx="0">
                  <c:v>Dairy Products</c:v>
                </c:pt>
                <c:pt idx="1">
                  <c:v>Electric Appliances</c:v>
                </c:pt>
                <c:pt idx="2">
                  <c:v>Fast Food</c:v>
                </c:pt>
                <c:pt idx="3">
                  <c:v>Fruits &amp; Vegetables</c:v>
                </c:pt>
                <c:pt idx="4">
                  <c:v>Furniture</c:v>
                </c:pt>
                <c:pt idx="5">
                  <c:v>Household Items</c:v>
                </c:pt>
              </c:strCache>
            </c:strRef>
          </c:cat>
          <c:val>
            <c:numRef>
              <c:f>'Kpi''s'!$D$99:$D$104</c:f>
              <c:numCache>
                <c:formatCode>"₹"\ #,##0</c:formatCode>
                <c:ptCount val="6"/>
                <c:pt idx="0">
                  <c:v>86433.26999999999</c:v>
                </c:pt>
                <c:pt idx="1">
                  <c:v>64003.19</c:v>
                </c:pt>
                <c:pt idx="2">
                  <c:v>56810.47</c:v>
                </c:pt>
                <c:pt idx="3">
                  <c:v>30306.579999999998</c:v>
                </c:pt>
                <c:pt idx="4">
                  <c:v>39520.9</c:v>
                </c:pt>
                <c:pt idx="5">
                  <c:v>53114.13</c:v>
                </c:pt>
              </c:numCache>
            </c:numRef>
          </c:val>
          <c:extLst>
            <c:ext xmlns:c16="http://schemas.microsoft.com/office/drawing/2014/chart" uri="{C3380CC4-5D6E-409C-BE32-E72D297353CC}">
              <c16:uniqueId val="{00000001-69D7-41AD-AFEE-1E46F8A26A70}"/>
            </c:ext>
          </c:extLst>
        </c:ser>
        <c:dLbls>
          <c:dLblPos val="inEnd"/>
          <c:showLegendKey val="0"/>
          <c:showVal val="1"/>
          <c:showCatName val="0"/>
          <c:showSerName val="0"/>
          <c:showPercent val="0"/>
          <c:showBubbleSize val="0"/>
        </c:dLbls>
        <c:gapWidth val="100"/>
        <c:overlap val="-24"/>
        <c:axId val="702987135"/>
        <c:axId val="702990975"/>
      </c:barChart>
      <c:catAx>
        <c:axId val="70298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702990975"/>
        <c:crosses val="autoZero"/>
        <c:auto val="1"/>
        <c:lblAlgn val="ctr"/>
        <c:lblOffset val="100"/>
        <c:noMultiLvlLbl val="0"/>
      </c:catAx>
      <c:valAx>
        <c:axId val="702990975"/>
        <c:scaling>
          <c:orientation val="minMax"/>
        </c:scaling>
        <c:delete val="1"/>
        <c:axPos val="l"/>
        <c:numFmt formatCode="&quot;₹&quot;\ #,##0" sourceLinked="1"/>
        <c:majorTickMark val="none"/>
        <c:minorTickMark val="none"/>
        <c:tickLblPos val="nextTo"/>
        <c:crossAx val="70298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barChart>
        <c:barDir val="bar"/>
        <c:grouping val="clustered"/>
        <c:varyColors val="0"/>
        <c:ser>
          <c:idx val="0"/>
          <c:order val="0"/>
          <c:tx>
            <c:strRef>
              <c:f>'Kpi''s'!$C$46</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49F1-4ADC-BE9D-79475AC94A2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49F1-4ADC-BE9D-79475AC94A26}"/>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49F1-4ADC-BE9D-79475AC94A26}"/>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49F1-4ADC-BE9D-79475AC94A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'Kpi''s'!$B$47:$B$50</c:f>
              <c:strCache>
                <c:ptCount val="4"/>
                <c:pt idx="0">
                  <c:v>West</c:v>
                </c:pt>
                <c:pt idx="1">
                  <c:v>South</c:v>
                </c:pt>
                <c:pt idx="2">
                  <c:v>North</c:v>
                </c:pt>
                <c:pt idx="3">
                  <c:v>East</c:v>
                </c:pt>
              </c:strCache>
            </c:strRef>
          </c:cat>
          <c:val>
            <c:numRef>
              <c:f>'Kpi''s'!$C$47:$C$50</c:f>
              <c:numCache>
                <c:formatCode>"₹"#,##0_);[Red]\("₹"#,##0\)</c:formatCode>
                <c:ptCount val="4"/>
                <c:pt idx="0">
                  <c:v>89228.830000000016</c:v>
                </c:pt>
                <c:pt idx="1">
                  <c:v>97095.169999999984</c:v>
                </c:pt>
                <c:pt idx="2">
                  <c:v>85841.62999999999</c:v>
                </c:pt>
                <c:pt idx="3">
                  <c:v>58022.91</c:v>
                </c:pt>
              </c:numCache>
            </c:numRef>
          </c:val>
          <c:extLst>
            <c:ext xmlns:c16="http://schemas.microsoft.com/office/drawing/2014/chart" uri="{C3380CC4-5D6E-409C-BE32-E72D297353CC}">
              <c16:uniqueId val="{00000008-49F1-4ADC-BE9D-79475AC94A26}"/>
            </c:ext>
          </c:extLst>
        </c:ser>
        <c:dLbls>
          <c:showLegendKey val="0"/>
          <c:showVal val="0"/>
          <c:showCatName val="0"/>
          <c:showSerName val="0"/>
          <c:showPercent val="0"/>
          <c:showBubbleSize val="0"/>
        </c:dLbls>
        <c:gapWidth val="100"/>
        <c:axId val="752670735"/>
        <c:axId val="752671695"/>
      </c:barChart>
      <c:valAx>
        <c:axId val="752671695"/>
        <c:scaling>
          <c:orientation val="minMax"/>
        </c:scaling>
        <c:delete val="1"/>
        <c:axPos val="b"/>
        <c:numFmt formatCode="&quot;₹&quot;#,##0_);[Red]\(&quot;₹&quot;#,##0\)" sourceLinked="1"/>
        <c:majorTickMark val="out"/>
        <c:minorTickMark val="none"/>
        <c:tickLblPos val="nextTo"/>
        <c:crossAx val="752670735"/>
        <c:crosses val="autoZero"/>
        <c:crossBetween val="between"/>
      </c:valAx>
      <c:catAx>
        <c:axId val="7526707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5267169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[Book2.xlsx]Kpi's!PivotTable27</c:name>
    <c:fmtId val="14"/>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17696583430284"/>
          <c:y val="6.4358127874117904E-2"/>
          <c:w val="0.74654751667818831"/>
          <c:h val="0.87128374425176425"/>
        </c:manualLayout>
      </c:layout>
      <c:barChart>
        <c:barDir val="bar"/>
        <c:grouping val="clustered"/>
        <c:varyColors val="0"/>
        <c:ser>
          <c:idx val="0"/>
          <c:order val="0"/>
          <c:tx>
            <c:strRef>
              <c:f>'Kpi''s'!$C$61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9050">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'Kpi''s'!$B$62:$B$71</c:f>
              <c:strCache>
                <c:ptCount val="10"/>
                <c:pt idx="0">
                  <c:v>Tamil Nadu</c:v>
                </c:pt>
                <c:pt idx="1">
                  <c:v>Madhya Pradesh</c:v>
                </c:pt>
                <c:pt idx="2">
                  <c:v>Delhi</c:v>
                </c:pt>
                <c:pt idx="3">
                  <c:v>Maharashtra</c:v>
                </c:pt>
                <c:pt idx="4">
                  <c:v>Rajasthan</c:v>
                </c:pt>
                <c:pt idx="5">
                  <c:v>Uttar Pradesh</c:v>
                </c:pt>
                <c:pt idx="6">
                  <c:v>Punjab</c:v>
                </c:pt>
                <c:pt idx="7">
                  <c:v>Gujarat</c:v>
                </c:pt>
                <c:pt idx="8">
                  <c:v>West Bengal</c:v>
                </c:pt>
                <c:pt idx="9">
                  <c:v>Karnataka</c:v>
                </c:pt>
              </c:strCache>
            </c:strRef>
          </c:cat>
          <c:val>
            <c:numRef>
              <c:f>'Kpi''s'!$C$62:$C$71</c:f>
              <c:numCache>
                <c:formatCode>"₹"\ #,##0</c:formatCode>
                <c:ptCount val="10"/>
                <c:pt idx="0">
                  <c:v>60427.399999999994</c:v>
                </c:pt>
                <c:pt idx="1">
                  <c:v>95448.670000000013</c:v>
                </c:pt>
                <c:pt idx="2">
                  <c:v>95919.150000000009</c:v>
                </c:pt>
                <c:pt idx="3">
                  <c:v>223852.65</c:v>
                </c:pt>
                <c:pt idx="4">
                  <c:v>243762.3</c:v>
                </c:pt>
                <c:pt idx="5">
                  <c:v>248872</c:v>
                </c:pt>
                <c:pt idx="6">
                  <c:v>274550.37999999995</c:v>
                </c:pt>
                <c:pt idx="7">
                  <c:v>287758.06</c:v>
                </c:pt>
                <c:pt idx="8">
                  <c:v>323350.57000000007</c:v>
                </c:pt>
                <c:pt idx="9">
                  <c:v>437346.97</c:v>
                </c:pt>
              </c:numCache>
            </c:numRef>
          </c:val>
          <c:extLst>
            <c:ext xmlns:c16="http://schemas.microsoft.com/office/drawing/2014/chart" uri="{C3380CC4-5D6E-409C-BE32-E72D297353CC}">
              <c16:uniqueId val="{00000000-8C5E-4313-A566-D283CE649BB3}"/>
            </c:ext>
          </c:extLst>
        </c:ser>
        <c:dLbls>
          <c:dLblPos val="inEnd"/>
          <c:showLegendKey val="0"/>
          <c:showVal val="1"/>
          <c:showCatName val="0"/>
          <c:showSerName val="0"/>
          <c:showPercent val="0"/>
          <c:showBubbleSize val="0"/>
        </c:dLbls>
        <c:gapWidth val="100"/>
        <c:axId val="697855136"/>
        <c:axId val="697853696"/>
      </c:barChart>
      <c:catAx>
        <c:axId val="6978551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697853696"/>
        <c:crosses val="autoZero"/>
        <c:auto val="1"/>
        <c:lblAlgn val="ctr"/>
        <c:lblOffset val="100"/>
        <c:noMultiLvlLbl val="0"/>
      </c:catAx>
      <c:valAx>
        <c:axId val="697853696"/>
        <c:scaling>
          <c:orientation val="minMax"/>
        </c:scaling>
        <c:delete val="1"/>
        <c:axPos val="b"/>
        <c:numFmt formatCode="&quot;₹&quot;\ #,##0" sourceLinked="1"/>
        <c:majorTickMark val="none"/>
        <c:minorTickMark val="none"/>
        <c:tickLblPos val="nextTo"/>
        <c:crossAx val="69785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121920</xdr:colOff>
      <xdr:row>13</xdr:row>
      <xdr:rowOff>163830</xdr:rowOff>
    </xdr:from>
    <xdr:to>
      <xdr:col>7</xdr:col>
      <xdr:colOff>175260</xdr:colOff>
      <xdr:row>25</xdr:row>
      <xdr:rowOff>160020</xdr:rowOff>
    </xdr:to>
    <xdr:graphicFrame macro="">
      <xdr:nvGraphicFramePr>
        <xdr:cNvPr id="2" name="Chart 1">
          <a:extLst>
            <a:ext uri="{FF2B5EF4-FFF2-40B4-BE49-F238E27FC236}">
              <a16:creationId xmlns:a16="http://schemas.microsoft.com/office/drawing/2014/main" id="{83F3A93B-AD76-672C-0B14-9565501B9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502920</xdr:colOff>
      <xdr:row>1</xdr:row>
      <xdr:rowOff>83821</xdr:rowOff>
    </xdr:from>
    <xdr:to>
      <xdr:col>10</xdr:col>
      <xdr:colOff>502921</xdr:colOff>
      <xdr:row>12</xdr:row>
      <xdr:rowOff>152400</xdr:rowOff>
    </xdr:to>
    <mc:AlternateContent xmlns:mc="http://schemas.openxmlformats.org/markup-compatibility/2006" xmlns:a14="http://schemas.microsoft.com/office/drawing/2010/main">
      <mc:Choice Requires="a14">
        <xdr:graphicFrame macro="">
          <xdr:nvGraphicFramePr>
            <xdr:cNvPr id="3" name="Category of Goods">
              <a:extLst>
                <a:ext uri="{FF2B5EF4-FFF2-40B4-BE49-F238E27FC236}">
                  <a16:creationId xmlns:a16="http://schemas.microsoft.com/office/drawing/2014/main" id="{6835ED7E-3C85-05C9-01B0-9730EB467B32}"/>
                </a:ext>
              </a:extLst>
            </xdr:cNvPr>
            <xdr:cNvGraphicFramePr/>
          </xdr:nvGraphicFramePr>
          <xdr:xfrm>
            <a:off x="0" y="0"/>
            <a:ext cx="0" cy="0"/>
          </xdr:xfrm>
          <a:graphic>
            <a:graphicData uri="http://schemas.microsoft.com/office/drawing/2010/slicer">
              <sle:slicer xmlns:sle="http://schemas.microsoft.com/office/drawing/2010/slicer" name="Category of Goods"/>
            </a:graphicData>
          </a:graphic>
        </xdr:graphicFrame>
      </mc:Choice>
      <mc:Fallback xmlns="">
        <xdr:sp macro="" textlink="">
          <xdr:nvSpPr>
            <xdr:cNvPr id="0" name=""/>
            <xdr:cNvSpPr>
              <a:spLocks noTextEdit="1"/>
            </xdr:cNvSpPr>
          </xdr:nvSpPr>
          <xdr:spPr>
            <a:xfrm>
              <a:off x="6621332" y="263115"/>
              <a:ext cx="1815354" cy="2040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xdr:colOff>
      <xdr:row>28</xdr:row>
      <xdr:rowOff>125730</xdr:rowOff>
    </xdr:from>
    <xdr:to>
      <xdr:col>9</xdr:col>
      <xdr:colOff>213360</xdr:colOff>
      <xdr:row>41</xdr:row>
      <xdr:rowOff>0</xdr:rowOff>
    </xdr:to>
    <xdr:graphicFrame macro="">
      <xdr:nvGraphicFramePr>
        <xdr:cNvPr id="4" name="Chart 3">
          <a:extLst>
            <a:ext uri="{FF2B5EF4-FFF2-40B4-BE49-F238E27FC236}">
              <a16:creationId xmlns:a16="http://schemas.microsoft.com/office/drawing/2014/main" id="{8242778E-EC23-BE5F-F36C-EF53C7697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467510</xdr:colOff>
      <xdr:row>14</xdr:row>
      <xdr:rowOff>118335</xdr:rowOff>
    </xdr:from>
    <xdr:to>
      <xdr:col>11</xdr:col>
      <xdr:colOff>467511</xdr:colOff>
      <xdr:row>24</xdr:row>
      <xdr:rowOff>110715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A20F64C2-0094-15C8-A7A5-18F6C575C8B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91039" y="2628453"/>
              <a:ext cx="1815354" cy="17853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70702</xdr:colOff>
      <xdr:row>44</xdr:row>
      <xdr:rowOff>172041</xdr:rowOff>
    </xdr:from>
    <xdr:to>
      <xdr:col>7</xdr:col>
      <xdr:colOff>392783</xdr:colOff>
      <xdr:row>54</xdr:row>
      <xdr:rowOff>102125</xdr:rowOff>
    </xdr:to>
    <xdr:graphicFrame macro="">
      <xdr:nvGraphicFramePr>
        <xdr:cNvPr id="6" name="Chart 5">
          <a:extLst>
            <a:ext uri="{FF2B5EF4-FFF2-40B4-BE49-F238E27FC236}">
              <a16:creationId xmlns:a16="http://schemas.microsoft.com/office/drawing/2014/main" id="{F438C3F0-0DF2-7A23-6B28-B911486DB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205677</xdr:colOff>
      <xdr:row>59</xdr:row>
      <xdr:rowOff>178524</xdr:rowOff>
    </xdr:from>
    <xdr:to>
      <xdr:col>7</xdr:col>
      <xdr:colOff>233556</xdr:colOff>
      <xdr:row>71</xdr:row>
      <xdr:rowOff>113990</xdr:rowOff>
    </xdr:to>
    <xdr:graphicFrame macro="">
      <xdr:nvGraphicFramePr>
        <xdr:cNvPr id="7" name="Chart 6">
          <a:extLst>
            <a:ext uri="{FF2B5EF4-FFF2-40B4-BE49-F238E27FC236}">
              <a16:creationId xmlns:a16="http://schemas.microsoft.com/office/drawing/2014/main" id="{78B82399-13C2-3720-291D-9DA0E13FF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89647</xdr:colOff>
      <xdr:row>78</xdr:row>
      <xdr:rowOff>152400</xdr:rowOff>
    </xdr:from>
    <xdr:to>
      <xdr:col>8</xdr:col>
      <xdr:colOff>112059</xdr:colOff>
      <xdr:row>92</xdr:row>
      <xdr:rowOff>89646</xdr:rowOff>
    </xdr:to>
    <xdr:graphicFrame macro="">
      <xdr:nvGraphicFramePr>
        <xdr:cNvPr id="8" name="Chart 7">
          <a:extLst>
            <a:ext uri="{FF2B5EF4-FFF2-40B4-BE49-F238E27FC236}">
              <a16:creationId xmlns:a16="http://schemas.microsoft.com/office/drawing/2014/main" id="{25C3D59E-0305-626D-7108-927734A6FB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604669</xdr:colOff>
      <xdr:row>19</xdr:row>
      <xdr:rowOff>106232</xdr:rowOff>
    </xdr:from>
    <xdr:to>
      <xdr:col>15</xdr:col>
      <xdr:colOff>158676</xdr:colOff>
      <xdr:row>33</xdr:row>
      <xdr:rowOff>177389</xdr:rowOff>
    </xdr:to>
    <mc:AlternateContent xmlns:mc="http://schemas.openxmlformats.org/markup-compatibility/2006" xmlns:a14="http://schemas.microsoft.com/office/drawing/2010/main">
      <mc:Choice Requires="a14">
        <xdr:graphicFrame macro="">
          <xdr:nvGraphicFramePr>
            <xdr:cNvPr id="9" name="State">
              <a:extLst>
                <a:ext uri="{FF2B5EF4-FFF2-40B4-BE49-F238E27FC236}">
                  <a16:creationId xmlns:a16="http://schemas.microsoft.com/office/drawing/2014/main" id="{F3AF6456-F3B2-28B5-E0B8-79A64BB2BD1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9189869" y="3645299"/>
              <a:ext cx="1831540" cy="2678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110067</xdr:colOff>
      <xdr:row>96</xdr:row>
      <xdr:rowOff>160867</xdr:rowOff>
    </xdr:from>
    <xdr:to>
      <xdr:col>10</xdr:col>
      <xdr:colOff>110067</xdr:colOff>
      <xdr:row>110</xdr:row>
      <xdr:rowOff>118535</xdr:rowOff>
    </xdr:to>
    <xdr:graphicFrame macro="">
      <xdr:nvGraphicFramePr>
        <xdr:cNvPr id="10" name="Chart 9">
          <a:extLst>
            <a:ext uri="{FF2B5EF4-FFF2-40B4-BE49-F238E27FC236}">
              <a16:creationId xmlns:a16="http://schemas.microsoft.com/office/drawing/2014/main" id="{D69A6305-6A5E-E4B7-456B-3097F30A7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33510</xdr:colOff>
      <xdr:row>0</xdr:row>
      <xdr:rowOff>0</xdr:rowOff>
    </xdr:from>
    <xdr:to>
      <xdr:col>23</xdr:col>
      <xdr:colOff>501316</xdr:colOff>
      <xdr:row>43</xdr:row>
      <xdr:rowOff>140368</xdr:rowOff>
    </xdr:to>
    <xdr:sp macro="" textlink="">
      <xdr:nvSpPr>
        <xdr:cNvPr id="2" name="Rectangle: Rounded Corners 1">
          <a:extLst>
            <a:ext uri="{FF2B5EF4-FFF2-40B4-BE49-F238E27FC236}">
              <a16:creationId xmlns:a16="http://schemas.microsoft.com/office/drawing/2014/main" id="{27F20B40-6157-5698-C1C9-DD4DA4BECC39}"/>
            </a:ext>
          </a:extLst>
        </xdr:cNvPr>
        <xdr:cNvSpPr/>
      </xdr:nvSpPr>
      <xdr:spPr>
        <a:xfrm>
          <a:off x="33510" y="0"/>
          <a:ext cx="14534727" cy="7900736"/>
        </a:xfrm>
        <a:prstGeom prst="roundRect">
          <a:avLst>
            <a:gd name="adj" fmla="val 1946"/>
          </a:avLst>
        </a:prstGeom>
        <a:solidFill>
          <a:schemeClr val="bg1">
            <a:lumMod val="75000"/>
          </a:schemeClr>
        </a:solidFill>
        <a:ln>
          <a:noFill/>
        </a:ln>
        <a:effectLst>
          <a:outerShdw blurRad="50800" dist="38100" dir="8100000" algn="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113317</xdr:colOff>
      <xdr:row>5</xdr:row>
      <xdr:rowOff>42852</xdr:rowOff>
    </xdr:from>
    <xdr:to>
      <xdr:col>11</xdr:col>
      <xdr:colOff>128558</xdr:colOff>
      <xdr:row>9</xdr:row>
      <xdr:rowOff>177390</xdr:rowOff>
    </xdr:to>
    <xdr:sp macro="" textlink="">
      <xdr:nvSpPr>
        <xdr:cNvPr id="3" name="Rectangle: Rounded Corners 2">
          <a:extLst>
            <a:ext uri="{FF2B5EF4-FFF2-40B4-BE49-F238E27FC236}">
              <a16:creationId xmlns:a16="http://schemas.microsoft.com/office/drawing/2014/main" id="{2413DA8B-C116-D318-0276-66A59C0F54C2}"/>
            </a:ext>
          </a:extLst>
        </xdr:cNvPr>
        <xdr:cNvSpPr/>
      </xdr:nvSpPr>
      <xdr:spPr>
        <a:xfrm>
          <a:off x="4963898" y="944142"/>
          <a:ext cx="1834208" cy="855571"/>
        </a:xfrm>
        <a:prstGeom prst="roundRect">
          <a:avLst>
            <a:gd name="adj" fmla="val 24562"/>
          </a:avLst>
        </a:prstGeom>
        <a:solidFill>
          <a:schemeClr val="bg1"/>
        </a:solidFill>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566058</xdr:colOff>
      <xdr:row>6</xdr:row>
      <xdr:rowOff>43543</xdr:rowOff>
    </xdr:from>
    <xdr:to>
      <xdr:col>11</xdr:col>
      <xdr:colOff>87086</xdr:colOff>
      <xdr:row>7</xdr:row>
      <xdr:rowOff>180130</xdr:rowOff>
    </xdr:to>
    <xdr:sp macro="" textlink="">
      <xdr:nvSpPr>
        <xdr:cNvPr id="4" name="TextBox 3">
          <a:extLst>
            <a:ext uri="{FF2B5EF4-FFF2-40B4-BE49-F238E27FC236}">
              <a16:creationId xmlns:a16="http://schemas.microsoft.com/office/drawing/2014/main" id="{CE407A9A-42F4-63BE-2614-44114C15236D}"/>
            </a:ext>
          </a:extLst>
        </xdr:cNvPr>
        <xdr:cNvSpPr txBox="1"/>
      </xdr:nvSpPr>
      <xdr:spPr>
        <a:xfrm>
          <a:off x="5442858" y="1153886"/>
          <a:ext cx="1349828" cy="3216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Segoe UI Semibold" panose="020B0702040204020203" pitchFamily="34" charset="0"/>
              <a:cs typeface="Segoe UI Semibold" panose="020B0702040204020203" pitchFamily="34" charset="0"/>
            </a:rPr>
            <a:t>Total</a:t>
          </a:r>
          <a:r>
            <a:rPr lang="en-IN" sz="1400">
              <a:solidFill>
                <a:schemeClr val="bg1"/>
              </a:solidFill>
              <a:latin typeface="Segoe UI Semibold" panose="020B0702040204020203" pitchFamily="34" charset="0"/>
              <a:cs typeface="Segoe UI Semibold" panose="020B0702040204020203" pitchFamily="34" charset="0"/>
            </a:rPr>
            <a:t> </a:t>
          </a:r>
          <a:r>
            <a:rPr lang="en-IN" sz="1400">
              <a:solidFill>
                <a:schemeClr val="tx1"/>
              </a:solidFill>
              <a:latin typeface="Segoe UI Semibold" panose="020B0702040204020203" pitchFamily="34" charset="0"/>
              <a:cs typeface="Segoe UI Semibold" panose="020B0702040204020203" pitchFamily="34" charset="0"/>
            </a:rPr>
            <a:t>Sales</a:t>
          </a:r>
        </a:p>
      </xdr:txBody>
    </xdr:sp>
    <xdr:clientData/>
  </xdr:twoCellAnchor>
  <xdr:twoCellAnchor>
    <xdr:from>
      <xdr:col>9</xdr:col>
      <xdr:colOff>12711</xdr:colOff>
      <xdr:row>7</xdr:row>
      <xdr:rowOff>106739</xdr:rowOff>
    </xdr:from>
    <xdr:to>
      <xdr:col>11</xdr:col>
      <xdr:colOff>12711</xdr:colOff>
      <xdr:row>9</xdr:row>
      <xdr:rowOff>45779</xdr:rowOff>
    </xdr:to>
    <xdr:sp macro="" textlink="'Kpi''s'!O5">
      <xdr:nvSpPr>
        <xdr:cNvPr id="6" name="TextBox 5">
          <a:extLst>
            <a:ext uri="{FF2B5EF4-FFF2-40B4-BE49-F238E27FC236}">
              <a16:creationId xmlns:a16="http://schemas.microsoft.com/office/drawing/2014/main" id="{667AD3EE-8AC5-8F4F-9112-4533625C9695}"/>
            </a:ext>
          </a:extLst>
        </xdr:cNvPr>
        <xdr:cNvSpPr txBox="1"/>
      </xdr:nvSpPr>
      <xdr:spPr>
        <a:xfrm>
          <a:off x="5499111" y="1402139"/>
          <a:ext cx="1219200" cy="30915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5D1D452-E725-4FB9-9A1D-FE9381ADF9A4}" type="TxLink">
            <a:rPr lang="en-US" sz="1600" b="0" i="0" u="none" strike="noStrike">
              <a:solidFill>
                <a:srgbClr val="000000"/>
              </a:solidFill>
              <a:effectLst/>
              <a:latin typeface="Segoe UI Semibold" panose="020B0702040204020203" pitchFamily="34" charset="0"/>
              <a:ea typeface="+mn-ea"/>
              <a:cs typeface="Segoe UI Semibold" panose="020B0702040204020203" pitchFamily="34" charset="0"/>
            </a:rPr>
            <a:pPr algn="ctr"/>
            <a:t>₹ 22,91,288</a:t>
          </a:fld>
          <a:endParaRPr lang="en-US" sz="1600" b="0" i="0" u="none" strike="noStrike">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7</xdr:col>
      <xdr:colOff>330868</xdr:colOff>
      <xdr:row>0</xdr:row>
      <xdr:rowOff>59997</xdr:rowOff>
    </xdr:from>
    <xdr:to>
      <xdr:col>16</xdr:col>
      <xdr:colOff>190500</xdr:colOff>
      <xdr:row>3</xdr:row>
      <xdr:rowOff>75237</xdr:rowOff>
    </xdr:to>
    <xdr:sp macro="" textlink="">
      <xdr:nvSpPr>
        <xdr:cNvPr id="15" name="Rectangle: Rounded Corners 14">
          <a:extLst>
            <a:ext uri="{FF2B5EF4-FFF2-40B4-BE49-F238E27FC236}">
              <a16:creationId xmlns:a16="http://schemas.microsoft.com/office/drawing/2014/main" id="{E114DAE2-4FE0-59B9-997E-0D3C79636AB3}"/>
            </a:ext>
          </a:extLst>
        </xdr:cNvPr>
        <xdr:cNvSpPr/>
      </xdr:nvSpPr>
      <xdr:spPr>
        <a:xfrm>
          <a:off x="4612105" y="59997"/>
          <a:ext cx="5364079" cy="556661"/>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102615</xdr:colOff>
      <xdr:row>0</xdr:row>
      <xdr:rowOff>138145</xdr:rowOff>
    </xdr:from>
    <xdr:to>
      <xdr:col>15</xdr:col>
      <xdr:colOff>507102</xdr:colOff>
      <xdr:row>3</xdr:row>
      <xdr:rowOff>23726</xdr:rowOff>
    </xdr:to>
    <xdr:sp macro="" textlink="">
      <xdr:nvSpPr>
        <xdr:cNvPr id="17" name="TextBox 16">
          <a:extLst>
            <a:ext uri="{FF2B5EF4-FFF2-40B4-BE49-F238E27FC236}">
              <a16:creationId xmlns:a16="http://schemas.microsoft.com/office/drawing/2014/main" id="{278B77D3-5020-D693-4275-FCC8B4F1AE79}"/>
            </a:ext>
          </a:extLst>
        </xdr:cNvPr>
        <xdr:cNvSpPr txBox="1"/>
      </xdr:nvSpPr>
      <xdr:spPr>
        <a:xfrm>
          <a:off x="4979415" y="138145"/>
          <a:ext cx="4671687" cy="4285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RETAIL SHOP SALES DASHBOARD (2019-2023)</a:t>
          </a:r>
        </a:p>
      </xdr:txBody>
    </xdr:sp>
    <xdr:clientData/>
  </xdr:twoCellAnchor>
  <xdr:twoCellAnchor>
    <xdr:from>
      <xdr:col>15</xdr:col>
      <xdr:colOff>517997</xdr:colOff>
      <xdr:row>5</xdr:row>
      <xdr:rowOff>65713</xdr:rowOff>
    </xdr:from>
    <xdr:to>
      <xdr:col>18</xdr:col>
      <xdr:colOff>533237</xdr:colOff>
      <xdr:row>10</xdr:row>
      <xdr:rowOff>19993</xdr:rowOff>
    </xdr:to>
    <xdr:sp macro="" textlink="">
      <xdr:nvSpPr>
        <xdr:cNvPr id="18" name="Rectangle: Rounded Corners 17">
          <a:extLst>
            <a:ext uri="{FF2B5EF4-FFF2-40B4-BE49-F238E27FC236}">
              <a16:creationId xmlns:a16="http://schemas.microsoft.com/office/drawing/2014/main" id="{942AACF6-D9F4-4E7D-BD8F-236533C6726A}"/>
            </a:ext>
          </a:extLst>
        </xdr:cNvPr>
        <xdr:cNvSpPr/>
      </xdr:nvSpPr>
      <xdr:spPr>
        <a:xfrm>
          <a:off x="9612836" y="967003"/>
          <a:ext cx="1834207" cy="855571"/>
        </a:xfrm>
        <a:prstGeom prst="roundRect">
          <a:avLst>
            <a:gd name="adj" fmla="val 24562"/>
          </a:avLst>
        </a:prstGeom>
        <a:solidFill>
          <a:schemeClr val="bg1"/>
        </a:solidFill>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474337</xdr:colOff>
      <xdr:row>6</xdr:row>
      <xdr:rowOff>1089</xdr:rowOff>
    </xdr:from>
    <xdr:to>
      <xdr:col>18</xdr:col>
      <xdr:colOff>457200</xdr:colOff>
      <xdr:row>7</xdr:row>
      <xdr:rowOff>178526</xdr:rowOff>
    </xdr:to>
    <xdr:sp macro="" textlink="">
      <xdr:nvSpPr>
        <xdr:cNvPr id="19" name="TextBox 18">
          <a:extLst>
            <a:ext uri="{FF2B5EF4-FFF2-40B4-BE49-F238E27FC236}">
              <a16:creationId xmlns:a16="http://schemas.microsoft.com/office/drawing/2014/main" id="{3108D5F3-E33A-49B5-AA8C-94B02C747CD2}"/>
            </a:ext>
          </a:extLst>
        </xdr:cNvPr>
        <xdr:cNvSpPr txBox="1"/>
      </xdr:nvSpPr>
      <xdr:spPr>
        <a:xfrm>
          <a:off x="10227937" y="1111432"/>
          <a:ext cx="1202063" cy="3624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Segoe UI Semibold" panose="020B0702040204020203" pitchFamily="34" charset="0"/>
              <a:cs typeface="Segoe UI Semibold" panose="020B0702040204020203" pitchFamily="34" charset="0"/>
            </a:rPr>
            <a:t>Total</a:t>
          </a:r>
          <a:r>
            <a:rPr lang="en-IN" sz="1400" baseline="0">
              <a:solidFill>
                <a:schemeClr val="tx1"/>
              </a:solidFill>
              <a:latin typeface="Segoe UI Semibold" panose="020B0702040204020203" pitchFamily="34" charset="0"/>
              <a:cs typeface="Segoe UI Semibold" panose="020B0702040204020203" pitchFamily="34" charset="0"/>
            </a:rPr>
            <a:t> Profit</a:t>
          </a:r>
        </a:p>
      </xdr:txBody>
    </xdr:sp>
    <xdr:clientData/>
  </xdr:twoCellAnchor>
  <xdr:twoCellAnchor>
    <xdr:from>
      <xdr:col>16</xdr:col>
      <xdr:colOff>479837</xdr:colOff>
      <xdr:row>7</xdr:row>
      <xdr:rowOff>117741</xdr:rowOff>
    </xdr:from>
    <xdr:to>
      <xdr:col>18</xdr:col>
      <xdr:colOff>479837</xdr:colOff>
      <xdr:row>9</xdr:row>
      <xdr:rowOff>56781</xdr:rowOff>
    </xdr:to>
    <xdr:sp macro="" textlink="'Kpi''s'!O9">
      <xdr:nvSpPr>
        <xdr:cNvPr id="20" name="TextBox 19">
          <a:extLst>
            <a:ext uri="{FF2B5EF4-FFF2-40B4-BE49-F238E27FC236}">
              <a16:creationId xmlns:a16="http://schemas.microsoft.com/office/drawing/2014/main" id="{F46DAC93-F5BB-4DE6-B31F-05C4FA7C991F}"/>
            </a:ext>
          </a:extLst>
        </xdr:cNvPr>
        <xdr:cNvSpPr txBox="1"/>
      </xdr:nvSpPr>
      <xdr:spPr>
        <a:xfrm>
          <a:off x="10233437" y="1413141"/>
          <a:ext cx="1219200" cy="30915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2E09A4-922A-4067-840B-4C71F31603B7}" type="TxLink">
            <a:rPr lang="en-US" sz="1600" b="0" i="0" u="none" strike="noStrike">
              <a:solidFill>
                <a:srgbClr val="000000"/>
              </a:solidFill>
              <a:effectLst/>
              <a:latin typeface="Segoe UI Semibold" panose="020B0702040204020203" pitchFamily="34" charset="0"/>
              <a:ea typeface="+mn-ea"/>
              <a:cs typeface="Segoe UI Semibold" panose="020B0702040204020203" pitchFamily="34" charset="0"/>
            </a:rPr>
            <a:pPr algn="ctr"/>
            <a:t>₹ 3,30,189</a:t>
          </a:fld>
          <a:endParaRPr lang="en-US" sz="1600" b="0" i="0" u="none" strike="noStrike">
            <a:solidFill>
              <a:srgbClr val="000000"/>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11</xdr:col>
      <xdr:colOff>438191</xdr:colOff>
      <xdr:row>5</xdr:row>
      <xdr:rowOff>57357</xdr:rowOff>
    </xdr:from>
    <xdr:to>
      <xdr:col>14</xdr:col>
      <xdr:colOff>553391</xdr:colOff>
      <xdr:row>10</xdr:row>
      <xdr:rowOff>14258</xdr:rowOff>
    </xdr:to>
    <xdr:sp macro="" textlink="">
      <xdr:nvSpPr>
        <xdr:cNvPr id="22" name="Rectangle: Rounded Corners 21">
          <a:extLst>
            <a:ext uri="{FF2B5EF4-FFF2-40B4-BE49-F238E27FC236}">
              <a16:creationId xmlns:a16="http://schemas.microsoft.com/office/drawing/2014/main" id="{BFEFE886-95B8-4B2A-A586-B4719581EAD1}"/>
            </a:ext>
          </a:extLst>
        </xdr:cNvPr>
        <xdr:cNvSpPr/>
      </xdr:nvSpPr>
      <xdr:spPr>
        <a:xfrm>
          <a:off x="7143791" y="982643"/>
          <a:ext cx="1944000" cy="882186"/>
        </a:xfrm>
        <a:prstGeom prst="roundRect">
          <a:avLst>
            <a:gd name="adj" fmla="val 24562"/>
          </a:avLst>
        </a:prstGeom>
        <a:solidFill>
          <a:schemeClr val="bg1"/>
        </a:solidFill>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210820</xdr:colOff>
      <xdr:row>5</xdr:row>
      <xdr:rowOff>56782</xdr:rowOff>
    </xdr:from>
    <xdr:to>
      <xdr:col>22</xdr:col>
      <xdr:colOff>226059</xdr:colOff>
      <xdr:row>10</xdr:row>
      <xdr:rowOff>13683</xdr:rowOff>
    </xdr:to>
    <xdr:sp macro="" textlink="">
      <xdr:nvSpPr>
        <xdr:cNvPr id="23" name="Rectangle: Rounded Corners 22">
          <a:extLst>
            <a:ext uri="{FF2B5EF4-FFF2-40B4-BE49-F238E27FC236}">
              <a16:creationId xmlns:a16="http://schemas.microsoft.com/office/drawing/2014/main" id="{30733AE9-AD47-41A8-9172-25D6BAAE81A1}"/>
            </a:ext>
          </a:extLst>
        </xdr:cNvPr>
        <xdr:cNvSpPr/>
      </xdr:nvSpPr>
      <xdr:spPr>
        <a:xfrm>
          <a:off x="11730949" y="958072"/>
          <a:ext cx="1834207" cy="858192"/>
        </a:xfrm>
        <a:prstGeom prst="roundRect">
          <a:avLst>
            <a:gd name="adj" fmla="val 24562"/>
          </a:avLst>
        </a:prstGeom>
        <a:solidFill>
          <a:schemeClr val="bg1"/>
        </a:solidFill>
        <a:ln>
          <a:noFill/>
        </a:ln>
        <a:effectLst>
          <a:outerShdw blurRad="50800" dist="38100" dir="8100000" algn="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606171</xdr:colOff>
      <xdr:row>7</xdr:row>
      <xdr:rowOff>91557</xdr:rowOff>
    </xdr:from>
    <xdr:to>
      <xdr:col>14</xdr:col>
      <xdr:colOff>72770</xdr:colOff>
      <xdr:row>9</xdr:row>
      <xdr:rowOff>28419</xdr:rowOff>
    </xdr:to>
    <xdr:sp macro="" textlink="'Kpi''s'!O13">
      <xdr:nvSpPr>
        <xdr:cNvPr id="24" name="TextBox 23">
          <a:extLst>
            <a:ext uri="{FF2B5EF4-FFF2-40B4-BE49-F238E27FC236}">
              <a16:creationId xmlns:a16="http://schemas.microsoft.com/office/drawing/2014/main" id="{1B6FC1F6-5F28-47A5-9A26-4242279E2957}"/>
            </a:ext>
          </a:extLst>
        </xdr:cNvPr>
        <xdr:cNvSpPr txBox="1"/>
      </xdr:nvSpPr>
      <xdr:spPr>
        <a:xfrm>
          <a:off x="7921371" y="1386957"/>
          <a:ext cx="685799" cy="30697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73C143-EB67-4B82-ACCB-7653D2DDD63B}" type="TxLink">
            <a:rPr lang="en-US" sz="1800" b="0" i="0" u="none" strike="noStrike">
              <a:solidFill>
                <a:srgbClr val="000000"/>
              </a:solidFill>
              <a:effectLst/>
              <a:latin typeface="Segoe UI Semibold" panose="020B0702040204020203" pitchFamily="34" charset="0"/>
              <a:ea typeface="+mn-ea"/>
              <a:cs typeface="Segoe UI Semibold" panose="020B0702040204020203" pitchFamily="34" charset="0"/>
            </a:rPr>
            <a:pPr algn="ctr"/>
            <a:t>520</a:t>
          </a:fld>
          <a:endParaRPr lang="en-US" sz="1800" b="0" i="0" u="none" strike="noStrike">
            <a:solidFill>
              <a:srgbClr val="000000"/>
            </a:solidFill>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20</xdr:col>
      <xdr:colOff>180399</xdr:colOff>
      <xdr:row>7</xdr:row>
      <xdr:rowOff>90974</xdr:rowOff>
    </xdr:from>
    <xdr:to>
      <xdr:col>21</xdr:col>
      <xdr:colOff>451442</xdr:colOff>
      <xdr:row>9</xdr:row>
      <xdr:rowOff>32834</xdr:rowOff>
    </xdr:to>
    <xdr:sp macro="" textlink="'Kpi''s'!O16">
      <xdr:nvSpPr>
        <xdr:cNvPr id="25" name="TextBox 24">
          <a:extLst>
            <a:ext uri="{FF2B5EF4-FFF2-40B4-BE49-F238E27FC236}">
              <a16:creationId xmlns:a16="http://schemas.microsoft.com/office/drawing/2014/main" id="{D6DC1E5E-C1BA-4205-A7AA-BE1BDBCD644F}"/>
            </a:ext>
          </a:extLst>
        </xdr:cNvPr>
        <xdr:cNvSpPr txBox="1"/>
      </xdr:nvSpPr>
      <xdr:spPr>
        <a:xfrm>
          <a:off x="12372399" y="1386374"/>
          <a:ext cx="880643" cy="31197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E0F26B-6604-42F0-A80B-1820416DA2AD}" type="TxLink">
            <a:rPr lang="en-US" sz="1800" b="0" i="0" u="none" strike="noStrike">
              <a:solidFill>
                <a:srgbClr val="000000"/>
              </a:solidFill>
              <a:effectLst/>
              <a:latin typeface="Segoe UI Semibold" panose="020B0702040204020203" pitchFamily="34" charset="0"/>
              <a:ea typeface="+mn-ea"/>
              <a:cs typeface="Segoe UI Semibold" panose="020B0702040204020203" pitchFamily="34" charset="0"/>
            </a:rPr>
            <a:pPr algn="ctr"/>
            <a:t>0.26</a:t>
          </a:fld>
          <a:endParaRPr lang="en-US" sz="1800" b="0" i="0" u="none" strike="noStrike">
            <a:effectLst/>
            <a:latin typeface="Segoe UI Semibold" panose="020B0702040204020203" pitchFamily="34" charset="0"/>
            <a:ea typeface="+mn-ea"/>
            <a:cs typeface="Segoe UI Semibold" panose="020B0702040204020203" pitchFamily="34" charset="0"/>
          </a:endParaRPr>
        </a:p>
      </xdr:txBody>
    </xdr:sp>
    <xdr:clientData/>
  </xdr:twoCellAnchor>
  <xdr:twoCellAnchor>
    <xdr:from>
      <xdr:col>12</xdr:col>
      <xdr:colOff>217713</xdr:colOff>
      <xdr:row>6</xdr:row>
      <xdr:rowOff>43543</xdr:rowOff>
    </xdr:from>
    <xdr:to>
      <xdr:col>14</xdr:col>
      <xdr:colOff>544286</xdr:colOff>
      <xdr:row>8</xdr:row>
      <xdr:rowOff>38673</xdr:rowOff>
    </xdr:to>
    <xdr:sp macro="" textlink="">
      <xdr:nvSpPr>
        <xdr:cNvPr id="26" name="TextBox 25">
          <a:extLst>
            <a:ext uri="{FF2B5EF4-FFF2-40B4-BE49-F238E27FC236}">
              <a16:creationId xmlns:a16="http://schemas.microsoft.com/office/drawing/2014/main" id="{CBCCF3BF-338A-4061-8A11-75D4186F72CD}"/>
            </a:ext>
          </a:extLst>
        </xdr:cNvPr>
        <xdr:cNvSpPr txBox="1"/>
      </xdr:nvSpPr>
      <xdr:spPr>
        <a:xfrm>
          <a:off x="7532913" y="1153886"/>
          <a:ext cx="1545773" cy="3652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Segoe UI Semibold" panose="020B0702040204020203" pitchFamily="34" charset="0"/>
              <a:cs typeface="Segoe UI Semibold" panose="020B0702040204020203" pitchFamily="34" charset="0"/>
            </a:rPr>
            <a:t>Total</a:t>
          </a:r>
          <a:r>
            <a:rPr lang="en-IN" sz="1400" baseline="0">
              <a:solidFill>
                <a:schemeClr val="tx1"/>
              </a:solidFill>
              <a:latin typeface="Segoe UI Semibold" panose="020B0702040204020203" pitchFamily="34" charset="0"/>
              <a:cs typeface="Segoe UI Semibold" panose="020B0702040204020203" pitchFamily="34" charset="0"/>
            </a:rPr>
            <a:t> Quantity</a:t>
          </a:r>
        </a:p>
      </xdr:txBody>
    </xdr:sp>
    <xdr:clientData/>
  </xdr:twoCellAnchor>
  <xdr:twoCellAnchor>
    <xdr:from>
      <xdr:col>19</xdr:col>
      <xdr:colOff>449275</xdr:colOff>
      <xdr:row>5</xdr:row>
      <xdr:rowOff>111210</xdr:rowOff>
    </xdr:from>
    <xdr:to>
      <xdr:col>22</xdr:col>
      <xdr:colOff>108856</xdr:colOff>
      <xdr:row>7</xdr:row>
      <xdr:rowOff>103590</xdr:rowOff>
    </xdr:to>
    <xdr:sp macro="" textlink="">
      <xdr:nvSpPr>
        <xdr:cNvPr id="27" name="TextBox 26">
          <a:extLst>
            <a:ext uri="{FF2B5EF4-FFF2-40B4-BE49-F238E27FC236}">
              <a16:creationId xmlns:a16="http://schemas.microsoft.com/office/drawing/2014/main" id="{17E76526-04AB-48BE-ADE2-6DB8BB495091}"/>
            </a:ext>
          </a:extLst>
        </xdr:cNvPr>
        <xdr:cNvSpPr txBox="1"/>
      </xdr:nvSpPr>
      <xdr:spPr>
        <a:xfrm>
          <a:off x="12031675" y="1036496"/>
          <a:ext cx="1488381" cy="3624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tx1"/>
              </a:solidFill>
              <a:latin typeface="Segoe UI Semibold" panose="020B0702040204020203" pitchFamily="34" charset="0"/>
              <a:cs typeface="Segoe UI Semibold" panose="020B0702040204020203" pitchFamily="34" charset="0"/>
            </a:rPr>
            <a:t>Avg</a:t>
          </a:r>
          <a:r>
            <a:rPr lang="en-IN" sz="1400" baseline="0">
              <a:solidFill>
                <a:schemeClr val="tx1"/>
              </a:solidFill>
              <a:latin typeface="Segoe UI Semibold" panose="020B0702040204020203" pitchFamily="34" charset="0"/>
              <a:cs typeface="Segoe UI Semibold" panose="020B0702040204020203" pitchFamily="34" charset="0"/>
            </a:rPr>
            <a:t> Discount%</a:t>
          </a:r>
          <a:endParaRPr lang="en-IN" sz="1400">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175260</xdr:colOff>
      <xdr:row>26</xdr:row>
      <xdr:rowOff>24006</xdr:rowOff>
    </xdr:from>
    <xdr:to>
      <xdr:col>7</xdr:col>
      <xdr:colOff>434340</xdr:colOff>
      <xdr:row>40</xdr:row>
      <xdr:rowOff>115446</xdr:rowOff>
    </xdr:to>
    <xdr:sp macro="" textlink="">
      <xdr:nvSpPr>
        <xdr:cNvPr id="29" name="Rectangle: Rounded Corners 28">
          <a:extLst>
            <a:ext uri="{FF2B5EF4-FFF2-40B4-BE49-F238E27FC236}">
              <a16:creationId xmlns:a16="http://schemas.microsoft.com/office/drawing/2014/main" id="{AD096AC7-4000-4A3C-5930-C6C9B60CEFD0}"/>
            </a:ext>
          </a:extLst>
        </xdr:cNvPr>
        <xdr:cNvSpPr/>
      </xdr:nvSpPr>
      <xdr:spPr>
        <a:xfrm>
          <a:off x="175260" y="4710716"/>
          <a:ext cx="4503338" cy="2615053"/>
        </a:xfrm>
        <a:prstGeom prst="roundRect">
          <a:avLst>
            <a:gd name="adj" fmla="val 7553"/>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306521</xdr:colOff>
      <xdr:row>26</xdr:row>
      <xdr:rowOff>100780</xdr:rowOff>
    </xdr:from>
    <xdr:to>
      <xdr:col>4</xdr:col>
      <xdr:colOff>4999</xdr:colOff>
      <xdr:row>28</xdr:row>
      <xdr:rowOff>32200</xdr:rowOff>
    </xdr:to>
    <xdr:sp macro="" textlink="">
      <xdr:nvSpPr>
        <xdr:cNvPr id="30" name="TextBox 29">
          <a:extLst>
            <a:ext uri="{FF2B5EF4-FFF2-40B4-BE49-F238E27FC236}">
              <a16:creationId xmlns:a16="http://schemas.microsoft.com/office/drawing/2014/main" id="{06F20D3C-5C6D-6A96-BFAA-D62816F82D16}"/>
            </a:ext>
          </a:extLst>
        </xdr:cNvPr>
        <xdr:cNvSpPr txBox="1"/>
      </xdr:nvSpPr>
      <xdr:spPr>
        <a:xfrm>
          <a:off x="306521" y="4787490"/>
          <a:ext cx="2123768" cy="29193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Sales Trend</a:t>
          </a:r>
          <a:r>
            <a:rPr lang="en-IN" sz="1400" baseline="0">
              <a:latin typeface="Segoe UI Semibold" panose="020B0702040204020203" pitchFamily="34" charset="0"/>
              <a:cs typeface="Segoe UI Semibold" panose="020B0702040204020203" pitchFamily="34" charset="0"/>
            </a:rPr>
            <a:t> - Year Wise</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0</xdr:col>
      <xdr:colOff>289560</xdr:colOff>
      <xdr:row>28</xdr:row>
      <xdr:rowOff>162888</xdr:rowOff>
    </xdr:from>
    <xdr:to>
      <xdr:col>7</xdr:col>
      <xdr:colOff>266700</xdr:colOff>
      <xdr:row>40</xdr:row>
      <xdr:rowOff>4369</xdr:rowOff>
    </xdr:to>
    <xdr:graphicFrame macro="">
      <xdr:nvGraphicFramePr>
        <xdr:cNvPr id="5" name="Chart 4">
          <a:extLst>
            <a:ext uri="{FF2B5EF4-FFF2-40B4-BE49-F238E27FC236}">
              <a16:creationId xmlns:a16="http://schemas.microsoft.com/office/drawing/2014/main" id="{B65F5B60-7DAF-46E3-8B02-F598F2656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546346</xdr:colOff>
      <xdr:row>26</xdr:row>
      <xdr:rowOff>14666</xdr:rowOff>
    </xdr:from>
    <xdr:to>
      <xdr:col>15</xdr:col>
      <xdr:colOff>195826</xdr:colOff>
      <xdr:row>40</xdr:row>
      <xdr:rowOff>106106</xdr:rowOff>
    </xdr:to>
    <xdr:sp macro="" textlink="">
      <xdr:nvSpPr>
        <xdr:cNvPr id="8" name="Rectangle: Rounded Corners 7">
          <a:extLst>
            <a:ext uri="{FF2B5EF4-FFF2-40B4-BE49-F238E27FC236}">
              <a16:creationId xmlns:a16="http://schemas.microsoft.com/office/drawing/2014/main" id="{3B66A94B-802B-4297-B9F9-800DB28FE441}"/>
            </a:ext>
          </a:extLst>
        </xdr:cNvPr>
        <xdr:cNvSpPr/>
      </xdr:nvSpPr>
      <xdr:spPr>
        <a:xfrm>
          <a:off x="4790604" y="4701376"/>
          <a:ext cx="4500061" cy="2615053"/>
        </a:xfrm>
        <a:prstGeom prst="roundRect">
          <a:avLst>
            <a:gd name="adj" fmla="val 7553"/>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67434</xdr:colOff>
      <xdr:row>28</xdr:row>
      <xdr:rowOff>89719</xdr:rowOff>
    </xdr:from>
    <xdr:to>
      <xdr:col>15</xdr:col>
      <xdr:colOff>120234</xdr:colOff>
      <xdr:row>39</xdr:row>
      <xdr:rowOff>145973</xdr:rowOff>
    </xdr:to>
    <xdr:graphicFrame macro="">
      <xdr:nvGraphicFramePr>
        <xdr:cNvPr id="9" name="Chart 8">
          <a:extLst>
            <a:ext uri="{FF2B5EF4-FFF2-40B4-BE49-F238E27FC236}">
              <a16:creationId xmlns:a16="http://schemas.microsoft.com/office/drawing/2014/main" id="{5D1044E7-FA6B-4CB9-9E9D-02EC25B3C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346340</xdr:colOff>
      <xdr:row>26</xdr:row>
      <xdr:rowOff>28185</xdr:rowOff>
    </xdr:from>
    <xdr:to>
      <xdr:col>23</xdr:col>
      <xdr:colOff>142875</xdr:colOff>
      <xdr:row>40</xdr:row>
      <xdr:rowOff>119625</xdr:rowOff>
    </xdr:to>
    <xdr:sp macro="" textlink="">
      <xdr:nvSpPr>
        <xdr:cNvPr id="11" name="Rectangle: Rounded Corners 10">
          <a:extLst>
            <a:ext uri="{FF2B5EF4-FFF2-40B4-BE49-F238E27FC236}">
              <a16:creationId xmlns:a16="http://schemas.microsoft.com/office/drawing/2014/main" id="{2F11A4F2-3256-4F94-9BE3-36BC17F20043}"/>
            </a:ext>
          </a:extLst>
        </xdr:cNvPr>
        <xdr:cNvSpPr/>
      </xdr:nvSpPr>
      <xdr:spPr>
        <a:xfrm>
          <a:off x="9490340" y="4733535"/>
          <a:ext cx="4673335" cy="2625090"/>
        </a:xfrm>
        <a:prstGeom prst="roundRect">
          <a:avLst>
            <a:gd name="adj" fmla="val 7553"/>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457037</xdr:colOff>
      <xdr:row>26</xdr:row>
      <xdr:rowOff>81526</xdr:rowOff>
    </xdr:from>
    <xdr:to>
      <xdr:col>20</xdr:col>
      <xdr:colOff>172064</xdr:colOff>
      <xdr:row>28</xdr:row>
      <xdr:rowOff>15568</xdr:rowOff>
    </xdr:to>
    <xdr:sp macro="" textlink="">
      <xdr:nvSpPr>
        <xdr:cNvPr id="21" name="TextBox 20">
          <a:extLst>
            <a:ext uri="{FF2B5EF4-FFF2-40B4-BE49-F238E27FC236}">
              <a16:creationId xmlns:a16="http://schemas.microsoft.com/office/drawing/2014/main" id="{BBC15D65-21D5-42BA-8384-9404BA535E44}"/>
            </a:ext>
          </a:extLst>
        </xdr:cNvPr>
        <xdr:cNvSpPr txBox="1"/>
      </xdr:nvSpPr>
      <xdr:spPr>
        <a:xfrm>
          <a:off x="9551876" y="4768236"/>
          <a:ext cx="2746640" cy="29455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Semibold" panose="020B0702040204020203" pitchFamily="34" charset="0"/>
              <a:cs typeface="Segoe UI Semibold" panose="020B0702040204020203" pitchFamily="34" charset="0"/>
            </a:rPr>
            <a:t>Sales Trend - State Wise</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15</xdr:col>
      <xdr:colOff>380836</xdr:colOff>
      <xdr:row>10</xdr:row>
      <xdr:rowOff>149368</xdr:rowOff>
    </xdr:from>
    <xdr:to>
      <xdr:col>23</xdr:col>
      <xdr:colOff>30317</xdr:colOff>
      <xdr:row>25</xdr:row>
      <xdr:rowOff>60550</xdr:rowOff>
    </xdr:to>
    <xdr:sp macro="" textlink="">
      <xdr:nvSpPr>
        <xdr:cNvPr id="28" name="Rectangle: Rounded Corners 27">
          <a:extLst>
            <a:ext uri="{FF2B5EF4-FFF2-40B4-BE49-F238E27FC236}">
              <a16:creationId xmlns:a16="http://schemas.microsoft.com/office/drawing/2014/main" id="{861E1260-0F0F-4EC7-BE79-26622BA6C605}"/>
            </a:ext>
          </a:extLst>
        </xdr:cNvPr>
        <xdr:cNvSpPr/>
      </xdr:nvSpPr>
      <xdr:spPr>
        <a:xfrm>
          <a:off x="9475675" y="1951949"/>
          <a:ext cx="4500061" cy="2615053"/>
        </a:xfrm>
        <a:prstGeom prst="roundRect">
          <a:avLst>
            <a:gd name="adj" fmla="val 7553"/>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503738</xdr:colOff>
      <xdr:row>11</xdr:row>
      <xdr:rowOff>59239</xdr:rowOff>
    </xdr:from>
    <xdr:to>
      <xdr:col>18</xdr:col>
      <xdr:colOff>589937</xdr:colOff>
      <xdr:row>12</xdr:row>
      <xdr:rowOff>173539</xdr:rowOff>
    </xdr:to>
    <xdr:sp macro="" textlink="">
      <xdr:nvSpPr>
        <xdr:cNvPr id="32" name="TextBox 31">
          <a:extLst>
            <a:ext uri="{FF2B5EF4-FFF2-40B4-BE49-F238E27FC236}">
              <a16:creationId xmlns:a16="http://schemas.microsoft.com/office/drawing/2014/main" id="{927A68F1-FF48-47E3-81D3-F73C121BDEE2}"/>
            </a:ext>
          </a:extLst>
        </xdr:cNvPr>
        <xdr:cNvSpPr txBox="1"/>
      </xdr:nvSpPr>
      <xdr:spPr>
        <a:xfrm>
          <a:off x="9598577" y="2042078"/>
          <a:ext cx="1905166" cy="29455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Semibold" panose="020B0702040204020203" pitchFamily="34" charset="0"/>
              <a:cs typeface="Segoe UI Semibold" panose="020B0702040204020203" pitchFamily="34" charset="0"/>
            </a:rPr>
            <a:t>Regional  Sales</a:t>
          </a:r>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7</xdr:col>
      <xdr:colOff>516849</xdr:colOff>
      <xdr:row>10</xdr:row>
      <xdr:rowOff>162475</xdr:rowOff>
    </xdr:from>
    <xdr:to>
      <xdr:col>15</xdr:col>
      <xdr:colOff>166329</xdr:colOff>
      <xdr:row>25</xdr:row>
      <xdr:rowOff>73657</xdr:rowOff>
    </xdr:to>
    <xdr:sp macro="" textlink="">
      <xdr:nvSpPr>
        <xdr:cNvPr id="33" name="Rectangle: Rounded Corners 32">
          <a:extLst>
            <a:ext uri="{FF2B5EF4-FFF2-40B4-BE49-F238E27FC236}">
              <a16:creationId xmlns:a16="http://schemas.microsoft.com/office/drawing/2014/main" id="{C6D1A21D-1063-4DC9-A82B-6C1A825482D8}"/>
            </a:ext>
          </a:extLst>
        </xdr:cNvPr>
        <xdr:cNvSpPr/>
      </xdr:nvSpPr>
      <xdr:spPr>
        <a:xfrm>
          <a:off x="4761107" y="1965056"/>
          <a:ext cx="4500061" cy="2615053"/>
        </a:xfrm>
        <a:prstGeom prst="roundRect">
          <a:avLst>
            <a:gd name="adj" fmla="val 7553"/>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106517</xdr:colOff>
      <xdr:row>13</xdr:row>
      <xdr:rowOff>49160</xdr:rowOff>
    </xdr:from>
    <xdr:to>
      <xdr:col>15</xdr:col>
      <xdr:colOff>57356</xdr:colOff>
      <xdr:row>24</xdr:row>
      <xdr:rowOff>155677</xdr:rowOff>
    </xdr:to>
    <xdr:graphicFrame macro="">
      <xdr:nvGraphicFramePr>
        <xdr:cNvPr id="34" name="Chart 33">
          <a:extLst>
            <a:ext uri="{FF2B5EF4-FFF2-40B4-BE49-F238E27FC236}">
              <a16:creationId xmlns:a16="http://schemas.microsoft.com/office/drawing/2014/main" id="{7C83EE77-A512-4752-A03A-0C30F1082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49815</xdr:colOff>
      <xdr:row>11</xdr:row>
      <xdr:rowOff>55962</xdr:rowOff>
    </xdr:from>
    <xdr:to>
      <xdr:col>13</xdr:col>
      <xdr:colOff>567975</xdr:colOff>
      <xdr:row>12</xdr:row>
      <xdr:rowOff>170262</xdr:rowOff>
    </xdr:to>
    <xdr:sp macro="" textlink="">
      <xdr:nvSpPr>
        <xdr:cNvPr id="35" name="TextBox 34">
          <a:extLst>
            <a:ext uri="{FF2B5EF4-FFF2-40B4-BE49-F238E27FC236}">
              <a16:creationId xmlns:a16="http://schemas.microsoft.com/office/drawing/2014/main" id="{C58AFFE7-FAD5-4ED8-9197-49CA4F9F5E77}"/>
            </a:ext>
          </a:extLst>
        </xdr:cNvPr>
        <xdr:cNvSpPr txBox="1"/>
      </xdr:nvSpPr>
      <xdr:spPr>
        <a:xfrm>
          <a:off x="4900396" y="2038801"/>
          <a:ext cx="3549773" cy="29455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Segoe UI Semibold" panose="020B0702040204020203" pitchFamily="34" charset="0"/>
              <a:cs typeface="Segoe UI Semibold" panose="020B0702040204020203" pitchFamily="34" charset="0"/>
            </a:rPr>
            <a:t>Quantity Sales</a:t>
          </a:r>
          <a:r>
            <a:rPr lang="en-IN" sz="1400" baseline="0">
              <a:latin typeface="Segoe UI Semibold" panose="020B0702040204020203" pitchFamily="34" charset="0"/>
              <a:cs typeface="Segoe UI Semibold" panose="020B0702040204020203" pitchFamily="34" charset="0"/>
            </a:rPr>
            <a:t> - Category Wise</a:t>
          </a:r>
        </a:p>
        <a:p>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0</xdr:col>
      <xdr:colOff>103382</xdr:colOff>
      <xdr:row>10</xdr:row>
      <xdr:rowOff>107681</xdr:rowOff>
    </xdr:from>
    <xdr:to>
      <xdr:col>7</xdr:col>
      <xdr:colOff>362462</xdr:colOff>
      <xdr:row>25</xdr:row>
      <xdr:rowOff>18863</xdr:rowOff>
    </xdr:to>
    <xdr:sp macro="" textlink="">
      <xdr:nvSpPr>
        <xdr:cNvPr id="40" name="Rectangle: Rounded Corners 39">
          <a:extLst>
            <a:ext uri="{FF2B5EF4-FFF2-40B4-BE49-F238E27FC236}">
              <a16:creationId xmlns:a16="http://schemas.microsoft.com/office/drawing/2014/main" id="{2A6C39C0-B406-48A2-8F25-9378A178EB50}"/>
            </a:ext>
          </a:extLst>
        </xdr:cNvPr>
        <xdr:cNvSpPr/>
      </xdr:nvSpPr>
      <xdr:spPr>
        <a:xfrm>
          <a:off x="103382" y="1917431"/>
          <a:ext cx="4526280" cy="2625807"/>
        </a:xfrm>
        <a:prstGeom prst="roundRect">
          <a:avLst>
            <a:gd name="adj" fmla="val 7553"/>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13</xdr:row>
      <xdr:rowOff>9525</xdr:rowOff>
    </xdr:from>
    <xdr:to>
      <xdr:col>7</xdr:col>
      <xdr:colOff>247650</xdr:colOff>
      <xdr:row>24</xdr:row>
      <xdr:rowOff>91806</xdr:rowOff>
    </xdr:to>
    <xdr:graphicFrame macro="">
      <xdr:nvGraphicFramePr>
        <xdr:cNvPr id="41" name="Chart 40">
          <a:extLst>
            <a:ext uri="{FF2B5EF4-FFF2-40B4-BE49-F238E27FC236}">
              <a16:creationId xmlns:a16="http://schemas.microsoft.com/office/drawing/2014/main" id="{28C1AF28-17BB-4003-9ECD-5BB73EF18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265307</xdr:colOff>
      <xdr:row>10</xdr:row>
      <xdr:rowOff>164831</xdr:rowOff>
    </xdr:from>
    <xdr:to>
      <xdr:col>6</xdr:col>
      <xdr:colOff>173867</xdr:colOff>
      <xdr:row>12</xdr:row>
      <xdr:rowOff>98156</xdr:rowOff>
    </xdr:to>
    <xdr:sp macro="" textlink="">
      <xdr:nvSpPr>
        <xdr:cNvPr id="42" name="TextBox 41">
          <a:extLst>
            <a:ext uri="{FF2B5EF4-FFF2-40B4-BE49-F238E27FC236}">
              <a16:creationId xmlns:a16="http://schemas.microsoft.com/office/drawing/2014/main" id="{1C89FB06-B744-4397-AEC4-9BA3977C0414}"/>
            </a:ext>
          </a:extLst>
        </xdr:cNvPr>
        <xdr:cNvSpPr txBox="1"/>
      </xdr:nvSpPr>
      <xdr:spPr>
        <a:xfrm>
          <a:off x="265307" y="1974581"/>
          <a:ext cx="3566160" cy="2952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Semibold" panose="020B0702040204020203" pitchFamily="34" charset="0"/>
              <a:cs typeface="Segoe UI Semibold" panose="020B0702040204020203" pitchFamily="34" charset="0"/>
            </a:rPr>
            <a:t>Revenue &amp; Profit Sales - Category Wise</a:t>
          </a:r>
        </a:p>
        <a:p>
          <a:endParaRPr lang="en-IN" sz="1400">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195435</xdr:colOff>
      <xdr:row>3</xdr:row>
      <xdr:rowOff>133350</xdr:rowOff>
    </xdr:from>
    <xdr:to>
      <xdr:col>3</xdr:col>
      <xdr:colOff>195436</xdr:colOff>
      <xdr:row>10</xdr:row>
      <xdr:rowOff>28575</xdr:rowOff>
    </xdr:to>
    <mc:AlternateContent xmlns:mc="http://schemas.openxmlformats.org/markup-compatibility/2006" xmlns:a14="http://schemas.microsoft.com/office/drawing/2010/main">
      <mc:Choice Requires="a14">
        <xdr:graphicFrame macro="">
          <xdr:nvGraphicFramePr>
            <xdr:cNvPr id="43" name="Category of Goods 1">
              <a:extLst>
                <a:ext uri="{FF2B5EF4-FFF2-40B4-BE49-F238E27FC236}">
                  <a16:creationId xmlns:a16="http://schemas.microsoft.com/office/drawing/2014/main" id="{B9881674-A915-4443-B6C8-EAF68EA0A212}"/>
                </a:ext>
              </a:extLst>
            </xdr:cNvPr>
            <xdr:cNvGraphicFramePr/>
          </xdr:nvGraphicFramePr>
          <xdr:xfrm>
            <a:off x="0" y="0"/>
            <a:ext cx="0" cy="0"/>
          </xdr:xfrm>
          <a:graphic>
            <a:graphicData uri="http://schemas.microsoft.com/office/drawing/2010/slicer">
              <sle:slicer xmlns:sle="http://schemas.microsoft.com/office/drawing/2010/slicer" name="Category of Goods 1"/>
            </a:graphicData>
          </a:graphic>
        </xdr:graphicFrame>
      </mc:Choice>
      <mc:Fallback xmlns="">
        <xdr:sp macro="" textlink="">
          <xdr:nvSpPr>
            <xdr:cNvPr id="0" name=""/>
            <xdr:cNvSpPr>
              <a:spLocks noTextEdit="1"/>
            </xdr:cNvSpPr>
          </xdr:nvSpPr>
          <xdr:spPr>
            <a:xfrm>
              <a:off x="195435" y="674771"/>
              <a:ext cx="1834817" cy="11585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433560</xdr:colOff>
      <xdr:row>4</xdr:row>
      <xdr:rowOff>47626</xdr:rowOff>
    </xdr:from>
    <xdr:to>
      <xdr:col>6</xdr:col>
      <xdr:colOff>433561</xdr:colOff>
      <xdr:row>9</xdr:row>
      <xdr:rowOff>95250</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497A5F00-B2CF-4633-98DD-262ACFB57C5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68376" y="769521"/>
              <a:ext cx="1834817" cy="949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46232</xdr:colOff>
      <xdr:row>26</xdr:row>
      <xdr:rowOff>60056</xdr:rowOff>
    </xdr:from>
    <xdr:to>
      <xdr:col>14</xdr:col>
      <xdr:colOff>168632</xdr:colOff>
      <xdr:row>27</xdr:row>
      <xdr:rowOff>174356</xdr:rowOff>
    </xdr:to>
    <xdr:sp macro="" textlink="">
      <xdr:nvSpPr>
        <xdr:cNvPr id="46" name="TextBox 45">
          <a:extLst>
            <a:ext uri="{FF2B5EF4-FFF2-40B4-BE49-F238E27FC236}">
              <a16:creationId xmlns:a16="http://schemas.microsoft.com/office/drawing/2014/main" id="{9B132128-5133-453B-B3E0-015B1158DE5B}"/>
            </a:ext>
          </a:extLst>
        </xdr:cNvPr>
        <xdr:cNvSpPr txBox="1"/>
      </xdr:nvSpPr>
      <xdr:spPr>
        <a:xfrm>
          <a:off x="4923032" y="4765406"/>
          <a:ext cx="3780000" cy="29527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latin typeface="Segoe UI Semibold" panose="020B0702040204020203" pitchFamily="34" charset="0"/>
              <a:cs typeface="Segoe UI Semibold" panose="020B0702040204020203" pitchFamily="34" charset="0"/>
            </a:rPr>
            <a:t>Profit vs Discount Analysis - Category Wise</a:t>
          </a:r>
        </a:p>
        <a:p>
          <a:endParaRPr lang="en-IN" sz="1400">
            <a:latin typeface="Segoe UI Semibold" panose="020B0702040204020203" pitchFamily="34" charset="0"/>
            <a:cs typeface="Segoe UI Semibold" panose="020B0702040204020203" pitchFamily="34" charset="0"/>
          </a:endParaRPr>
        </a:p>
      </xdr:txBody>
    </xdr:sp>
    <xdr:clientData/>
  </xdr:twoCellAnchor>
  <xdr:twoCellAnchor>
    <xdr:from>
      <xdr:col>15</xdr:col>
      <xdr:colOff>542926</xdr:colOff>
      <xdr:row>13</xdr:row>
      <xdr:rowOff>161925</xdr:rowOff>
    </xdr:from>
    <xdr:to>
      <xdr:col>22</xdr:col>
      <xdr:colOff>504826</xdr:colOff>
      <xdr:row>24</xdr:row>
      <xdr:rowOff>66675</xdr:rowOff>
    </xdr:to>
    <xdr:graphicFrame macro="">
      <xdr:nvGraphicFramePr>
        <xdr:cNvPr id="48" name="Chart 47">
          <a:extLst>
            <a:ext uri="{FF2B5EF4-FFF2-40B4-BE49-F238E27FC236}">
              <a16:creationId xmlns:a16="http://schemas.microsoft.com/office/drawing/2014/main" id="{1B8BFC93-0767-4F7C-A0EC-7537E7A2E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428625</xdr:colOff>
      <xdr:row>28</xdr:row>
      <xdr:rowOff>47625</xdr:rowOff>
    </xdr:from>
    <xdr:to>
      <xdr:col>23</xdr:col>
      <xdr:colOff>66675</xdr:colOff>
      <xdr:row>40</xdr:row>
      <xdr:rowOff>46591</xdr:rowOff>
    </xdr:to>
    <xdr:graphicFrame macro="">
      <xdr:nvGraphicFramePr>
        <xdr:cNvPr id="49" name="Chart 48">
          <a:extLst>
            <a:ext uri="{FF2B5EF4-FFF2-40B4-BE49-F238E27FC236}">
              <a16:creationId xmlns:a16="http://schemas.microsoft.com/office/drawing/2014/main" id="{950A4C3E-9D5C-42DE-8413-25D0A5F98C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228599</xdr:colOff>
      <xdr:row>6</xdr:row>
      <xdr:rowOff>97971</xdr:rowOff>
    </xdr:from>
    <xdr:to>
      <xdr:col>9</xdr:col>
      <xdr:colOff>43542</xdr:colOff>
      <xdr:row>8</xdr:row>
      <xdr:rowOff>174171</xdr:rowOff>
    </xdr:to>
    <xdr:pic>
      <xdr:nvPicPr>
        <xdr:cNvPr id="51" name="Graphic 50" descr="Bar graph with upward trend with solid fill">
          <a:extLst>
            <a:ext uri="{FF2B5EF4-FFF2-40B4-BE49-F238E27FC236}">
              <a16:creationId xmlns:a16="http://schemas.microsoft.com/office/drawing/2014/main" id="{5642881D-A328-17D0-F673-2CE7A0C3518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105399" y="1208314"/>
          <a:ext cx="424543" cy="446314"/>
        </a:xfrm>
        <a:prstGeom prst="rect">
          <a:avLst/>
        </a:prstGeom>
      </xdr:spPr>
    </xdr:pic>
    <xdr:clientData/>
  </xdr:twoCellAnchor>
  <xdr:twoCellAnchor editAs="oneCell">
    <xdr:from>
      <xdr:col>11</xdr:col>
      <xdr:colOff>500743</xdr:colOff>
      <xdr:row>6</xdr:row>
      <xdr:rowOff>141516</xdr:rowOff>
    </xdr:from>
    <xdr:to>
      <xdr:col>12</xdr:col>
      <xdr:colOff>370113</xdr:colOff>
      <xdr:row>9</xdr:row>
      <xdr:rowOff>65315</xdr:rowOff>
    </xdr:to>
    <xdr:pic>
      <xdr:nvPicPr>
        <xdr:cNvPr id="53" name="Picture 52">
          <a:extLst>
            <a:ext uri="{FF2B5EF4-FFF2-40B4-BE49-F238E27FC236}">
              <a16:creationId xmlns:a16="http://schemas.microsoft.com/office/drawing/2014/main" id="{592C20B3-F6C2-1503-A2DC-9BBBA2756B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206343" y="1251859"/>
          <a:ext cx="478970" cy="478970"/>
        </a:xfrm>
        <a:prstGeom prst="rect">
          <a:avLst/>
        </a:prstGeom>
      </xdr:spPr>
    </xdr:pic>
    <xdr:clientData/>
  </xdr:twoCellAnchor>
  <xdr:twoCellAnchor editAs="oneCell">
    <xdr:from>
      <xdr:col>16</xdr:col>
      <xdr:colOff>10885</xdr:colOff>
      <xdr:row>6</xdr:row>
      <xdr:rowOff>54429</xdr:rowOff>
    </xdr:from>
    <xdr:to>
      <xdr:col>16</xdr:col>
      <xdr:colOff>566057</xdr:colOff>
      <xdr:row>9</xdr:row>
      <xdr:rowOff>54430</xdr:rowOff>
    </xdr:to>
    <xdr:pic>
      <xdr:nvPicPr>
        <xdr:cNvPr id="55" name="Picture 54">
          <a:extLst>
            <a:ext uri="{FF2B5EF4-FFF2-40B4-BE49-F238E27FC236}">
              <a16:creationId xmlns:a16="http://schemas.microsoft.com/office/drawing/2014/main" id="{3F22002E-D446-B97C-6E41-4FD2F2F6F8B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764485" y="1164772"/>
          <a:ext cx="555172" cy="555172"/>
        </a:xfrm>
        <a:prstGeom prst="rect">
          <a:avLst/>
        </a:prstGeom>
      </xdr:spPr>
    </xdr:pic>
    <xdr:clientData/>
  </xdr:twoCellAnchor>
  <xdr:twoCellAnchor editAs="oneCell">
    <xdr:from>
      <xdr:col>19</xdr:col>
      <xdr:colOff>304799</xdr:colOff>
      <xdr:row>7</xdr:row>
      <xdr:rowOff>43543</xdr:rowOff>
    </xdr:from>
    <xdr:to>
      <xdr:col>20</xdr:col>
      <xdr:colOff>167474</xdr:colOff>
      <xdr:row>9</xdr:row>
      <xdr:rowOff>108857</xdr:rowOff>
    </xdr:to>
    <xdr:pic>
      <xdr:nvPicPr>
        <xdr:cNvPr id="57" name="Picture 56">
          <a:extLst>
            <a:ext uri="{FF2B5EF4-FFF2-40B4-BE49-F238E27FC236}">
              <a16:creationId xmlns:a16="http://schemas.microsoft.com/office/drawing/2014/main" id="{52FDEE54-EEA3-FCA7-14CC-9D4AFA6D1CF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887199" y="1338943"/>
          <a:ext cx="472275" cy="435428"/>
        </a:xfrm>
        <a:prstGeom prst="rect">
          <a:avLst/>
        </a:prstGeom>
      </xdr:spPr>
    </xdr:pic>
    <xdr:clientData/>
  </xdr:twoCellAnchor>
  <xdr:twoCellAnchor>
    <xdr:from>
      <xdr:col>20</xdr:col>
      <xdr:colOff>250659</xdr:colOff>
      <xdr:row>41</xdr:row>
      <xdr:rowOff>20054</xdr:rowOff>
    </xdr:from>
    <xdr:to>
      <xdr:col>23</xdr:col>
      <xdr:colOff>401053</xdr:colOff>
      <xdr:row>43</xdr:row>
      <xdr:rowOff>140369</xdr:rowOff>
    </xdr:to>
    <xdr:sp macro="" textlink="">
      <xdr:nvSpPr>
        <xdr:cNvPr id="59" name="TextBox 58">
          <a:extLst>
            <a:ext uri="{FF2B5EF4-FFF2-40B4-BE49-F238E27FC236}">
              <a16:creationId xmlns:a16="http://schemas.microsoft.com/office/drawing/2014/main" id="{CE76C24C-8B73-FFF0-E644-17CB220DB219}"/>
            </a:ext>
          </a:extLst>
        </xdr:cNvPr>
        <xdr:cNvSpPr txBox="1"/>
      </xdr:nvSpPr>
      <xdr:spPr>
        <a:xfrm>
          <a:off x="12482764" y="7419475"/>
          <a:ext cx="1985210" cy="481262"/>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Segoe UI Semibold" panose="020B0702040204020203" pitchFamily="34" charset="0"/>
              <a:cs typeface="Segoe UI Semibold" panose="020B0702040204020203" pitchFamily="34" charset="0"/>
            </a:rPr>
            <a:t>Created by Vamsi Krishna  Retail Sales Dashboard</a:t>
          </a:r>
          <a:endParaRPr lang="en-IN" sz="1100">
            <a:latin typeface="Segoe UI Semibold" panose="020B0702040204020203" pitchFamily="34" charset="0"/>
            <a:cs typeface="Segoe UI Semibold" panose="020B0702040204020203"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MSI KRISHNA RADHARAPU" refreshedDate="46153.410390625002" createdVersion="8" refreshedVersion="8" minRefreshableVersion="3" recordCount="100" xr:uid="{515ED66D-EC2B-4173-88C6-C6983DA758C9}">
  <cacheSource type="worksheet">
    <worksheetSource ref="A1:U101" sheet="Retail_Shop Data"/>
  </cacheSource>
  <cacheFields count="21">
    <cacheField name="Customer ID" numFmtId="0">
      <sharedItems/>
    </cacheField>
    <cacheField name="Customer Name" numFmtId="0">
      <sharedItems/>
    </cacheField>
    <cacheField name="Last Name" numFmtId="0">
      <sharedItems/>
    </cacheField>
    <cacheField name="Sales" numFmtId="164">
      <sharedItems containsSemiMixedTypes="0" containsString="0" containsNumber="1" minValue="378.65" maxValue="49912.22"/>
    </cacheField>
    <cacheField name="Year" numFmtId="0">
      <sharedItems containsSemiMixedTypes="0" containsString="0" containsNumber="1" containsInteger="1" minValue="2019" maxValue="2023" count="5">
        <n v="2023"/>
        <n v="2022"/>
        <n v="2021"/>
        <n v="2019"/>
        <n v="2020"/>
      </sharedItems>
    </cacheField>
    <cacheField name="Outlet Type" numFmtId="0">
      <sharedItems/>
    </cacheField>
    <cacheField name="City Type" numFmtId="0">
      <sharedItems/>
    </cacheField>
    <cacheField name="Category of Goods" numFmtId="0">
      <sharedItems count="6">
        <s v="Fast Food"/>
        <s v="Electric Appliances"/>
        <s v="Dairy Products"/>
        <s v="Fruits &amp; Vegetables"/>
        <s v="Furniture"/>
        <s v="Household Items"/>
      </sharedItems>
    </cacheField>
    <cacheField name="Region" numFmtId="0">
      <sharedItems count="4">
        <s v="East"/>
        <s v="South"/>
        <s v="West"/>
        <s v="North"/>
      </sharedItems>
    </cacheField>
    <cacheField name="Segment" numFmtId="0">
      <sharedItems/>
    </cacheField>
    <cacheField name="Sales Date" numFmtId="14">
      <sharedItems containsSemiMixedTypes="0" containsNonDate="0" containsDate="1" containsString="0" minDate="2019-01-26T00:00:00" maxDate="2023-12-29T00:00:00"/>
    </cacheField>
    <cacheField name="Order ID" numFmtId="0">
      <sharedItems/>
    </cacheField>
    <cacheField name="Order Date" numFmtId="14">
      <sharedItems containsSemiMixedTypes="0" containsNonDate="0" containsDate="1" containsString="0" minDate="2019-01-05T00:00:00" maxDate="2023-12-11T00:00:00"/>
    </cacheField>
    <cacheField name="Ship Date" numFmtId="14">
      <sharedItems containsSemiMixedTypes="0" containsNonDate="0" containsDate="1" containsString="0" minDate="2019-01-10T00:00:00" maxDate="2023-12-12T00:00:00"/>
    </cacheField>
    <cacheField name="Ship Mode" numFmtId="0">
      <sharedItems/>
    </cacheField>
    <cacheField name="State" numFmtId="0">
      <sharedItems count="10">
        <s v="West Bengal"/>
        <s v="Punjab"/>
        <s v="Gujarat"/>
        <s v="Delhi"/>
        <s v="Tamil Nadu"/>
        <s v="Rajasthan"/>
        <s v="Uttar Pradesh"/>
        <s v="Madhya Pradesh"/>
        <s v="Karnataka"/>
        <s v="Maharashtra"/>
      </sharedItems>
    </cacheField>
    <cacheField name="Product ID" numFmtId="0">
      <sharedItems/>
    </cacheField>
    <cacheField name="Product Name" numFmtId="0">
      <sharedItems/>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5"/>
    </cacheField>
    <cacheField name="Profit" numFmtId="164">
      <sharedItems containsSemiMixedTypes="0" containsString="0" containsNumber="1" minValue="30.32" maxValue="9788.65"/>
    </cacheField>
  </cacheFields>
  <extLst>
    <ext xmlns:x14="http://schemas.microsoft.com/office/spreadsheetml/2009/9/main" uri="{725AE2AE-9491-48be-B2B4-4EB974FC3084}">
      <x14:pivotCacheDefinition pivotCacheId="2117169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001"/>
    <s v="Curtis"/>
    <s v="Krause"/>
    <n v="3344.69"/>
    <x v="0"/>
    <s v="Large"/>
    <s v="Tier 1"/>
    <x v="0"/>
    <x v="0"/>
    <s v="Consumer"/>
    <d v="2023-03-11T00:00:00"/>
    <s v="ORD001"/>
    <d v="2020-04-13T00:00:00"/>
    <d v="2020-04-18T00:00:00"/>
    <s v="Same Day"/>
    <x v="0"/>
    <s v="PROD001"/>
    <s v="Burgers"/>
    <n v="3"/>
    <n v="0.09"/>
    <n v="448.24"/>
  </r>
  <r>
    <s v="CUS002"/>
    <s v="Jeremy"/>
    <s v="Foster"/>
    <n v="37094.410000000003"/>
    <x v="1"/>
    <s v="Medium"/>
    <s v="Tier 2"/>
    <x v="0"/>
    <x v="0"/>
    <s v="Corporate"/>
    <d v="2023-09-09T00:00:00"/>
    <s v="ORD002"/>
    <d v="2021-01-08T00:00:00"/>
    <d v="2021-01-11T00:00:00"/>
    <s v="Standard Class"/>
    <x v="1"/>
    <s v="PROD002"/>
    <s v="Pizzas"/>
    <n v="5"/>
    <n v="0.39"/>
    <n v="3134.34"/>
  </r>
  <r>
    <s v="CUS003"/>
    <s v="Ariel"/>
    <s v="Mccann"/>
    <n v="35501.08"/>
    <x v="0"/>
    <s v="Large"/>
    <s v="Tier 3"/>
    <x v="1"/>
    <x v="1"/>
    <s v="Consumer"/>
    <d v="2022-08-15T00:00:00"/>
    <s v="ORD003"/>
    <d v="2020-08-11T00:00:00"/>
    <d v="2020-08-16T00:00:00"/>
    <s v="Second Class"/>
    <x v="2"/>
    <s v="PROD003"/>
    <s v="Fans"/>
    <n v="6"/>
    <n v="7.0000000000000007E-2"/>
    <n v="8324.2099999999991"/>
  </r>
  <r>
    <s v="CUS004"/>
    <s v="Colleen"/>
    <s v="Maynard"/>
    <n v="8969.33"/>
    <x v="2"/>
    <s v="Medium"/>
    <s v="Tier 3"/>
    <x v="2"/>
    <x v="0"/>
    <s v="Corporate"/>
    <d v="2021-01-23T00:00:00"/>
    <s v="ORD004"/>
    <d v="2021-10-10T00:00:00"/>
    <d v="2021-10-16T00:00:00"/>
    <s v="First Class"/>
    <x v="0"/>
    <s v="PROD004"/>
    <s v="Milk"/>
    <n v="4"/>
    <n v="0.18"/>
    <n v="1962.66"/>
  </r>
  <r>
    <s v="CUS005"/>
    <s v="Gina"/>
    <s v="Holden"/>
    <n v="35530.44"/>
    <x v="2"/>
    <s v="Small"/>
    <s v="Tier 3"/>
    <x v="3"/>
    <x v="2"/>
    <s v="Consumer"/>
    <d v="2020-12-24T00:00:00"/>
    <s v="ORD005"/>
    <d v="2019-01-22T00:00:00"/>
    <d v="2019-01-25T00:00:00"/>
    <s v="Standard Class"/>
    <x v="3"/>
    <s v="PROD005"/>
    <s v="Tomatoes"/>
    <n v="4"/>
    <n v="0.27"/>
    <n v="2843.93"/>
  </r>
  <r>
    <s v="CUS006"/>
    <s v="Danny"/>
    <s v="Stevenson"/>
    <n v="420.76"/>
    <x v="3"/>
    <s v="Large"/>
    <s v="Tier 2"/>
    <x v="2"/>
    <x v="1"/>
    <s v="Consumer"/>
    <d v="2019-03-13T00:00:00"/>
    <s v="ORD006"/>
    <d v="2019-12-18T00:00:00"/>
    <d v="2019-12-22T00:00:00"/>
    <s v="Second Class"/>
    <x v="4"/>
    <s v="PROD006"/>
    <s v="Milk"/>
    <n v="4"/>
    <n v="0.5"/>
    <n v="57.36"/>
  </r>
  <r>
    <s v="CUS007"/>
    <s v="Stephanie"/>
    <s v="Mccoy"/>
    <n v="31588.07"/>
    <x v="1"/>
    <s v="Medium"/>
    <s v="Tier 2"/>
    <x v="2"/>
    <x v="3"/>
    <s v="Consumer"/>
    <d v="2022-11-23T00:00:00"/>
    <s v="ORD007"/>
    <d v="2020-12-21T00:00:00"/>
    <d v="2020-12-23T00:00:00"/>
    <s v="Standard Class"/>
    <x v="2"/>
    <s v="PROD007"/>
    <s v="Yogurt"/>
    <n v="6"/>
    <n v="0.38"/>
    <n v="2834.07"/>
  </r>
  <r>
    <s v="CUS008"/>
    <s v="Henry"/>
    <s v="Cruz"/>
    <n v="4419.87"/>
    <x v="2"/>
    <s v="Small"/>
    <s v="Tier 2"/>
    <x v="1"/>
    <x v="2"/>
    <s v="Consumer"/>
    <d v="2019-03-11T00:00:00"/>
    <s v="ORD008"/>
    <d v="2021-11-12T00:00:00"/>
    <d v="2021-11-14T00:00:00"/>
    <s v="Standard Class"/>
    <x v="5"/>
    <s v="PROD008"/>
    <s v="Washing Machines"/>
    <n v="10"/>
    <n v="0.21"/>
    <n v="691.42"/>
  </r>
  <r>
    <s v="CUS009"/>
    <s v="Kristen"/>
    <s v="Lutz"/>
    <n v="41494.089999999997"/>
    <x v="0"/>
    <s v="Large"/>
    <s v="Tier 2"/>
    <x v="2"/>
    <x v="1"/>
    <s v="Corporate"/>
    <d v="2020-06-14T00:00:00"/>
    <s v="ORD009"/>
    <d v="2021-03-09T00:00:00"/>
    <d v="2021-03-10T00:00:00"/>
    <s v="First Class"/>
    <x v="0"/>
    <s v="PROD009"/>
    <s v="Milk"/>
    <n v="2"/>
    <n v="0.09"/>
    <n v="8083.35"/>
  </r>
  <r>
    <s v="CUS010"/>
    <s v="Gregory"/>
    <s v="Cuevas"/>
    <n v="39717.64"/>
    <x v="1"/>
    <s v="Medium"/>
    <s v="Tier 1"/>
    <x v="4"/>
    <x v="1"/>
    <s v="Corporate"/>
    <d v="2022-09-30T00:00:00"/>
    <s v="ORD010"/>
    <d v="2022-03-15T00:00:00"/>
    <d v="2022-03-20T00:00:00"/>
    <s v="Same Day"/>
    <x v="2"/>
    <s v="PROD010"/>
    <s v="Beds"/>
    <n v="3"/>
    <n v="0.27"/>
    <n v="4849.97"/>
  </r>
  <r>
    <s v="CUS011"/>
    <s v="Sara"/>
    <s v="Yang"/>
    <n v="42842.38"/>
    <x v="3"/>
    <s v="Medium"/>
    <s v="Tier 3"/>
    <x v="0"/>
    <x v="2"/>
    <s v="Corporate"/>
    <d v="2021-10-25T00:00:00"/>
    <s v="ORD011"/>
    <d v="2021-03-21T00:00:00"/>
    <d v="2021-03-28T00:00:00"/>
    <s v="Second Class"/>
    <x v="6"/>
    <s v="PROD011"/>
    <s v="Pizzas"/>
    <n v="2"/>
    <n v="0.15"/>
    <n v="6385.44"/>
  </r>
  <r>
    <s v="CUS012"/>
    <s v="Kenneth"/>
    <s v="Johnson"/>
    <n v="1036.8"/>
    <x v="1"/>
    <s v="Small"/>
    <s v="Tier 3"/>
    <x v="3"/>
    <x v="3"/>
    <s v="Consumer"/>
    <d v="2023-06-08T00:00:00"/>
    <s v="ORD012"/>
    <d v="2021-07-19T00:00:00"/>
    <d v="2021-07-21T00:00:00"/>
    <s v="Standard Class"/>
    <x v="7"/>
    <s v="PROD012"/>
    <s v="Mangoes"/>
    <n v="10"/>
    <n v="0.32"/>
    <n v="157.6"/>
  </r>
  <r>
    <s v="CUS013"/>
    <s v="Charles"/>
    <s v="Krueger"/>
    <n v="39274.36"/>
    <x v="0"/>
    <s v="Small"/>
    <s v="Tier 3"/>
    <x v="4"/>
    <x v="2"/>
    <s v="Corporate"/>
    <d v="2021-10-01T00:00:00"/>
    <s v="ORD013"/>
    <d v="2022-07-30T00:00:00"/>
    <d v="2022-08-03T00:00:00"/>
    <s v="Standard Class"/>
    <x v="1"/>
    <s v="PROD013"/>
    <s v="Chairs"/>
    <n v="7"/>
    <n v="0.3"/>
    <n v="6536.93"/>
  </r>
  <r>
    <s v="CUS014"/>
    <s v="Brenda"/>
    <s v="Campbell"/>
    <n v="31690.81"/>
    <x v="0"/>
    <s v="Small"/>
    <s v="Tier 2"/>
    <x v="2"/>
    <x v="2"/>
    <s v="Corporate"/>
    <d v="2023-01-10T00:00:00"/>
    <s v="ORD014"/>
    <d v="2019-02-09T00:00:00"/>
    <d v="2019-02-16T00:00:00"/>
    <s v="Standard Class"/>
    <x v="8"/>
    <s v="PROD014"/>
    <s v="Milk"/>
    <n v="5"/>
    <n v="0.1"/>
    <n v="3772.86"/>
  </r>
  <r>
    <s v="CUS015"/>
    <s v="Michael"/>
    <s v="Smith"/>
    <n v="40712.36"/>
    <x v="1"/>
    <s v="Large"/>
    <s v="Tier 3"/>
    <x v="2"/>
    <x v="2"/>
    <s v="Consumer"/>
    <d v="2019-05-06T00:00:00"/>
    <s v="ORD015"/>
    <d v="2023-05-09T00:00:00"/>
    <d v="2023-05-12T00:00:00"/>
    <s v="Same Day"/>
    <x v="5"/>
    <s v="PROD015"/>
    <s v="Milk"/>
    <n v="9"/>
    <n v="0.26"/>
    <n v="6108.43"/>
  </r>
  <r>
    <s v="CUS016"/>
    <s v="Cheryl"/>
    <s v="Stewart"/>
    <n v="34269.699999999997"/>
    <x v="3"/>
    <s v="Small"/>
    <s v="Tier 3"/>
    <x v="0"/>
    <x v="3"/>
    <s v="Corporate"/>
    <d v="2021-05-26T00:00:00"/>
    <s v="ORD016"/>
    <d v="2022-11-11T00:00:00"/>
    <d v="2022-11-17T00:00:00"/>
    <s v="Second Class"/>
    <x v="0"/>
    <s v="PROD016"/>
    <s v="Fries"/>
    <n v="1"/>
    <n v="0.35"/>
    <n v="4144.5"/>
  </r>
  <r>
    <s v="CUS017"/>
    <s v="Timothy"/>
    <s v="Harris"/>
    <n v="41271.24"/>
    <x v="4"/>
    <s v="Large"/>
    <s v="Tier 1"/>
    <x v="1"/>
    <x v="1"/>
    <s v="Consumer"/>
    <d v="2021-09-18T00:00:00"/>
    <s v="ORD017"/>
    <d v="2023-02-28T00:00:00"/>
    <d v="2023-03-05T00:00:00"/>
    <s v="Standard Class"/>
    <x v="9"/>
    <s v="PROD017"/>
    <s v="Washing Machines"/>
    <n v="8"/>
    <n v="0.4"/>
    <n v="5106.34"/>
  </r>
  <r>
    <s v="CUS018"/>
    <s v="Charlene"/>
    <s v="Blair"/>
    <n v="3896.21"/>
    <x v="4"/>
    <s v="Small"/>
    <s v="Tier 1"/>
    <x v="5"/>
    <x v="3"/>
    <s v="Corporate"/>
    <d v="2023-09-06T00:00:00"/>
    <s v="ORD018"/>
    <d v="2022-03-03T00:00:00"/>
    <d v="2022-03-06T00:00:00"/>
    <s v="Second Class"/>
    <x v="6"/>
    <s v="PROD018"/>
    <s v="Mops"/>
    <n v="6"/>
    <n v="0.23"/>
    <n v="868.88"/>
  </r>
  <r>
    <s v="CUS019"/>
    <s v="Dustin"/>
    <s v="Fuentes"/>
    <n v="15902.47"/>
    <x v="0"/>
    <s v="Small"/>
    <s v="Tier 1"/>
    <x v="5"/>
    <x v="3"/>
    <s v="Consumer"/>
    <d v="2019-08-24T00:00:00"/>
    <s v="ORD019"/>
    <d v="2020-01-01T00:00:00"/>
    <d v="2020-01-05T00:00:00"/>
    <s v="Standard Class"/>
    <x v="6"/>
    <s v="PROD019"/>
    <s v="Buckets"/>
    <n v="2"/>
    <n v="0.24"/>
    <n v="2192.64"/>
  </r>
  <r>
    <s v="CUS020"/>
    <s v="Mary"/>
    <s v="Johnson"/>
    <n v="14846.9"/>
    <x v="1"/>
    <s v="Small"/>
    <s v="Tier 1"/>
    <x v="5"/>
    <x v="3"/>
    <s v="Consumer"/>
    <d v="2023-02-27T00:00:00"/>
    <s v="ORD020"/>
    <d v="2019-06-17T00:00:00"/>
    <d v="2019-06-23T00:00:00"/>
    <s v="Second Class"/>
    <x v="0"/>
    <s v="PROD020"/>
    <s v="Utensils"/>
    <n v="8"/>
    <n v="0.27"/>
    <n v="2578.04"/>
  </r>
  <r>
    <s v="CUS021"/>
    <s v="Christie"/>
    <s v="Pearson"/>
    <n v="756.96"/>
    <x v="1"/>
    <s v="Large"/>
    <s v="Tier 2"/>
    <x v="5"/>
    <x v="0"/>
    <s v="Corporate"/>
    <d v="2021-04-12T00:00:00"/>
    <s v="ORD021"/>
    <d v="2020-08-26T00:00:00"/>
    <d v="2020-08-30T00:00:00"/>
    <s v="Second Class"/>
    <x v="1"/>
    <s v="PROD021"/>
    <s v="Detergents"/>
    <n v="6"/>
    <n v="0.5"/>
    <n v="61.95"/>
  </r>
  <r>
    <s v="CUS022"/>
    <s v="Patricia"/>
    <s v="Hicks"/>
    <n v="9172.02"/>
    <x v="0"/>
    <s v="Medium"/>
    <s v="Tier 1"/>
    <x v="2"/>
    <x v="3"/>
    <s v="Corporate"/>
    <d v="2020-12-11T00:00:00"/>
    <s v="ORD022"/>
    <d v="2019-11-04T00:00:00"/>
    <d v="2019-11-11T00:00:00"/>
    <s v="First Class"/>
    <x v="5"/>
    <s v="PROD022"/>
    <s v="Cheese"/>
    <n v="1"/>
    <n v="7.0000000000000007E-2"/>
    <n v="2279.66"/>
  </r>
  <r>
    <s v="CUS023"/>
    <s v="Steven"/>
    <s v="Perkins"/>
    <n v="34292.47"/>
    <x v="0"/>
    <s v="Medium"/>
    <s v="Tier 2"/>
    <x v="5"/>
    <x v="1"/>
    <s v="Corporate"/>
    <d v="2021-06-03T00:00:00"/>
    <s v="ORD023"/>
    <d v="2023-12-03T00:00:00"/>
    <d v="2023-12-06T00:00:00"/>
    <s v="Standard Class"/>
    <x v="1"/>
    <s v="PROD023"/>
    <s v="Detergents"/>
    <n v="3"/>
    <n v="0.03"/>
    <n v="9599.41"/>
  </r>
  <r>
    <s v="CUS024"/>
    <s v="Robert"/>
    <s v="Nicholson"/>
    <n v="35973.08"/>
    <x v="2"/>
    <s v="Medium"/>
    <s v="Tier 3"/>
    <x v="0"/>
    <x v="0"/>
    <s v="Corporate"/>
    <d v="2021-09-26T00:00:00"/>
    <s v="ORD024"/>
    <d v="2021-04-15T00:00:00"/>
    <d v="2021-04-22T00:00:00"/>
    <s v="Second Class"/>
    <x v="5"/>
    <s v="PROD024"/>
    <s v="Pizzas"/>
    <n v="5"/>
    <n v="0.47"/>
    <n v="5195.63"/>
  </r>
  <r>
    <s v="CUS025"/>
    <s v="Julie"/>
    <s v="Phillips"/>
    <n v="44383.63"/>
    <x v="0"/>
    <s v="Large"/>
    <s v="Tier 2"/>
    <x v="3"/>
    <x v="3"/>
    <s v="Consumer"/>
    <d v="2022-10-01T00:00:00"/>
    <s v="ORD025"/>
    <d v="2023-02-07T00:00:00"/>
    <d v="2023-02-12T00:00:00"/>
    <s v="First Class"/>
    <x v="8"/>
    <s v="PROD025"/>
    <s v="Carrots"/>
    <n v="6"/>
    <n v="0.43"/>
    <n v="3482.54"/>
  </r>
  <r>
    <s v="CUS026"/>
    <s v="Michael"/>
    <s v="David"/>
    <n v="4404.37"/>
    <x v="3"/>
    <s v="Large"/>
    <s v="Tier 2"/>
    <x v="1"/>
    <x v="0"/>
    <s v="Consumer"/>
    <d v="2021-12-19T00:00:00"/>
    <s v="ORD026"/>
    <d v="2019-04-27T00:00:00"/>
    <d v="2019-05-01T00:00:00"/>
    <s v="First Class"/>
    <x v="1"/>
    <s v="PROD026"/>
    <s v="Washing Machines"/>
    <n v="3"/>
    <n v="0.47"/>
    <n v="397.14"/>
  </r>
  <r>
    <s v="CUS027"/>
    <s v="Shelly"/>
    <s v="Thomas"/>
    <n v="34934.14"/>
    <x v="4"/>
    <s v="Medium"/>
    <s v="Tier 3"/>
    <x v="1"/>
    <x v="0"/>
    <s v="Corporate"/>
    <d v="2019-12-31T00:00:00"/>
    <s v="ORD027"/>
    <d v="2021-12-20T00:00:00"/>
    <d v="2021-12-24T00:00:00"/>
    <s v="Standard Class"/>
    <x v="6"/>
    <s v="PROD027"/>
    <s v="Fans"/>
    <n v="9"/>
    <n v="0.46"/>
    <n v="4657.6099999999997"/>
  </r>
  <r>
    <s v="CUS028"/>
    <s v="Dale"/>
    <s v="Miller"/>
    <n v="2361.71"/>
    <x v="4"/>
    <s v="Medium"/>
    <s v="Tier 1"/>
    <x v="5"/>
    <x v="3"/>
    <s v="Consumer"/>
    <d v="2021-11-05T00:00:00"/>
    <s v="ORD028"/>
    <d v="2019-04-06T00:00:00"/>
    <d v="2019-04-13T00:00:00"/>
    <s v="Same Day"/>
    <x v="7"/>
    <s v="PROD028"/>
    <s v="Mops"/>
    <n v="5"/>
    <n v="0.38"/>
    <n v="373.96"/>
  </r>
  <r>
    <s v="CUS029"/>
    <s v="Megan"/>
    <s v="Davis"/>
    <n v="24468.77"/>
    <x v="2"/>
    <s v="Small"/>
    <s v="Tier 2"/>
    <x v="5"/>
    <x v="1"/>
    <s v="Consumer"/>
    <d v="2019-01-26T00:00:00"/>
    <s v="ORD029"/>
    <d v="2022-02-20T00:00:00"/>
    <d v="2022-02-25T00:00:00"/>
    <s v="Same Day"/>
    <x v="1"/>
    <s v="PROD029"/>
    <s v="Detergents"/>
    <n v="9"/>
    <n v="0.3"/>
    <n v="3914.79"/>
  </r>
  <r>
    <s v="CUS030"/>
    <s v="Michael"/>
    <s v="Stephenson"/>
    <n v="16716.48"/>
    <x v="3"/>
    <s v="Small"/>
    <s v="Tier 3"/>
    <x v="5"/>
    <x v="3"/>
    <s v="Corporate"/>
    <d v="2021-12-25T00:00:00"/>
    <s v="ORD030"/>
    <d v="2019-05-20T00:00:00"/>
    <d v="2019-05-27T00:00:00"/>
    <s v="Same Day"/>
    <x v="1"/>
    <s v="PROD030"/>
    <s v="Utensils"/>
    <n v="2"/>
    <n v="0.39"/>
    <n v="1748.93"/>
  </r>
  <r>
    <s v="CUS031"/>
    <s v="Natasha"/>
    <s v="Murray"/>
    <n v="6167.65"/>
    <x v="4"/>
    <s v="Medium"/>
    <s v="Tier 2"/>
    <x v="3"/>
    <x v="1"/>
    <s v="Consumer"/>
    <d v="2022-05-13T00:00:00"/>
    <s v="ORD031"/>
    <d v="2019-03-05T00:00:00"/>
    <d v="2019-03-10T00:00:00"/>
    <s v="Same Day"/>
    <x v="3"/>
    <s v="PROD031"/>
    <s v="Apples"/>
    <n v="3"/>
    <n v="0.28999999999999998"/>
    <n v="583.15"/>
  </r>
  <r>
    <s v="CUS032"/>
    <s v="William"/>
    <s v="Duran"/>
    <n v="44969.55"/>
    <x v="2"/>
    <s v="Large"/>
    <s v="Tier 1"/>
    <x v="0"/>
    <x v="1"/>
    <s v="Consumer"/>
    <d v="2022-09-27T00:00:00"/>
    <s v="ORD032"/>
    <d v="2023-05-25T00:00:00"/>
    <d v="2023-05-28T00:00:00"/>
    <s v="First Class"/>
    <x v="9"/>
    <s v="PROD032"/>
    <s v="Burgers"/>
    <n v="2"/>
    <n v="0.11"/>
    <n v="9788.65"/>
  </r>
  <r>
    <s v="CUS033"/>
    <s v="Gregg"/>
    <s v="Perkins"/>
    <n v="38388.239999999998"/>
    <x v="1"/>
    <s v="Medium"/>
    <s v="Tier 3"/>
    <x v="4"/>
    <x v="1"/>
    <s v="Consumer"/>
    <d v="2020-05-28T00:00:00"/>
    <s v="ORD033"/>
    <d v="2023-12-10T00:00:00"/>
    <d v="2023-12-11T00:00:00"/>
    <s v="Same Day"/>
    <x v="5"/>
    <s v="PROD033"/>
    <s v="Tables"/>
    <n v="2"/>
    <n v="0.14000000000000001"/>
    <n v="3832.45"/>
  </r>
  <r>
    <s v="CUS034"/>
    <s v="Lori"/>
    <s v="Phillips"/>
    <n v="4999.82"/>
    <x v="1"/>
    <s v="Medium"/>
    <s v="Tier 1"/>
    <x v="1"/>
    <x v="2"/>
    <s v="Consumer"/>
    <d v="2023-01-13T00:00:00"/>
    <s v="ORD034"/>
    <d v="2023-07-28T00:00:00"/>
    <d v="2023-08-02T00:00:00"/>
    <s v="First Class"/>
    <x v="2"/>
    <s v="PROD034"/>
    <s v="Washing Machines"/>
    <n v="8"/>
    <n v="0.36"/>
    <n v="867.85"/>
  </r>
  <r>
    <s v="CUS035"/>
    <s v="Brooke"/>
    <s v="Lowe"/>
    <n v="32193.01"/>
    <x v="1"/>
    <s v="Large"/>
    <s v="Tier 2"/>
    <x v="5"/>
    <x v="2"/>
    <s v="Consumer"/>
    <d v="2019-03-28T00:00:00"/>
    <s v="ORD035"/>
    <d v="2023-01-27T00:00:00"/>
    <d v="2023-01-30T00:00:00"/>
    <s v="Standard Class"/>
    <x v="2"/>
    <s v="PROD035"/>
    <s v="Buckets"/>
    <n v="7"/>
    <n v="0.08"/>
    <n v="4603.5200000000004"/>
  </r>
  <r>
    <s v="CUS036"/>
    <s v="Kevin"/>
    <s v="Moore"/>
    <n v="33453.57"/>
    <x v="0"/>
    <s v="Small"/>
    <s v="Tier 3"/>
    <x v="2"/>
    <x v="3"/>
    <s v="Corporate"/>
    <d v="2022-10-10T00:00:00"/>
    <s v="ORD036"/>
    <d v="2023-09-02T00:00:00"/>
    <d v="2023-09-03T00:00:00"/>
    <s v="Second Class"/>
    <x v="2"/>
    <s v="PROD036"/>
    <s v="Yogurt"/>
    <n v="8"/>
    <n v="0.43"/>
    <n v="5456.87"/>
  </r>
  <r>
    <s v="CUS037"/>
    <s v="Sandy"/>
    <s v="Miller"/>
    <n v="41830.92"/>
    <x v="1"/>
    <s v="Large"/>
    <s v="Tier 1"/>
    <x v="4"/>
    <x v="1"/>
    <s v="Consumer"/>
    <d v="2019-12-19T00:00:00"/>
    <s v="ORD037"/>
    <d v="2019-12-09T00:00:00"/>
    <d v="2019-12-10T00:00:00"/>
    <s v="Second Class"/>
    <x v="8"/>
    <s v="PROD037"/>
    <s v="Chairs"/>
    <n v="5"/>
    <n v="0.22"/>
    <n v="5209.41"/>
  </r>
  <r>
    <s v="CUS038"/>
    <s v="Morgan"/>
    <s v="Greene"/>
    <n v="31602.21"/>
    <x v="3"/>
    <s v="Medium"/>
    <s v="Tier 3"/>
    <x v="5"/>
    <x v="1"/>
    <s v="Corporate"/>
    <d v="2023-12-28T00:00:00"/>
    <s v="ORD038"/>
    <d v="2021-12-20T00:00:00"/>
    <d v="2021-12-26T00:00:00"/>
    <s v="Second Class"/>
    <x v="8"/>
    <s v="PROD038"/>
    <s v="Buckets"/>
    <n v="3"/>
    <n v="0.49"/>
    <n v="2620.14"/>
  </r>
  <r>
    <s v="CUS039"/>
    <s v="Kevin"/>
    <s v="Terrell"/>
    <n v="7903.34"/>
    <x v="3"/>
    <s v="Medium"/>
    <s v="Tier 1"/>
    <x v="1"/>
    <x v="3"/>
    <s v="Consumer"/>
    <d v="2023-04-21T00:00:00"/>
    <s v="ORD039"/>
    <d v="2021-02-25T00:00:00"/>
    <d v="2021-02-27T00:00:00"/>
    <s v="Standard Class"/>
    <x v="6"/>
    <s v="PROD039"/>
    <s v="Fans"/>
    <n v="3"/>
    <n v="0.06"/>
    <n v="1187.42"/>
  </r>
  <r>
    <s v="CUS040"/>
    <s v="Jeanne"/>
    <s v="Gonzales"/>
    <n v="23667.32"/>
    <x v="2"/>
    <s v="Large"/>
    <s v="Tier 3"/>
    <x v="5"/>
    <x v="1"/>
    <s v="Corporate"/>
    <d v="2020-05-19T00:00:00"/>
    <s v="ORD040"/>
    <d v="2021-09-23T00:00:00"/>
    <d v="2021-09-29T00:00:00"/>
    <s v="First Class"/>
    <x v="2"/>
    <s v="PROD040"/>
    <s v="Mops"/>
    <n v="2"/>
    <n v="7.0000000000000007E-2"/>
    <n v="3631.17"/>
  </r>
  <r>
    <s v="CUS041"/>
    <s v="Kayla"/>
    <s v="Rivera"/>
    <n v="39762.15"/>
    <x v="0"/>
    <s v="Large"/>
    <s v="Tier 2"/>
    <x v="4"/>
    <x v="3"/>
    <s v="Corporate"/>
    <d v="2022-04-17T00:00:00"/>
    <s v="ORD041"/>
    <d v="2023-02-09T00:00:00"/>
    <d v="2023-02-15T00:00:00"/>
    <s v="Same Day"/>
    <x v="1"/>
    <s v="PROD041"/>
    <s v="Chairs"/>
    <n v="10"/>
    <n v="0.03"/>
    <n v="6437.84"/>
  </r>
  <r>
    <s v="CUS042"/>
    <s v="Michelle"/>
    <s v="Green"/>
    <n v="10843.03"/>
    <x v="2"/>
    <s v="Medium"/>
    <s v="Tier 1"/>
    <x v="2"/>
    <x v="3"/>
    <s v="Consumer"/>
    <d v="2019-05-17T00:00:00"/>
    <s v="ORD042"/>
    <d v="2019-03-21T00:00:00"/>
    <d v="2019-03-22T00:00:00"/>
    <s v="Second Class"/>
    <x v="1"/>
    <s v="PROD042"/>
    <s v="Cheese"/>
    <n v="7"/>
    <n v="0.08"/>
    <n v="2550.7399999999998"/>
  </r>
  <r>
    <s v="CUS043"/>
    <s v="Timothy"/>
    <s v="Morrow"/>
    <n v="35014.14"/>
    <x v="2"/>
    <s v="Small"/>
    <s v="Tier 1"/>
    <x v="0"/>
    <x v="1"/>
    <s v="Consumer"/>
    <d v="2022-12-14T00:00:00"/>
    <s v="ORD043"/>
    <d v="2022-07-15T00:00:00"/>
    <d v="2022-07-20T00:00:00"/>
    <s v="Standard Class"/>
    <x v="3"/>
    <s v="PROD043"/>
    <s v="Sandwiches"/>
    <n v="8"/>
    <n v="0.19"/>
    <n v="6929.86"/>
  </r>
  <r>
    <s v="CUS044"/>
    <s v="Richard"/>
    <s v="Simmons"/>
    <n v="49912.22"/>
    <x v="4"/>
    <s v="Medium"/>
    <s v="Tier 2"/>
    <x v="2"/>
    <x v="3"/>
    <s v="Corporate"/>
    <d v="2019-08-18T00:00:00"/>
    <s v="ORD044"/>
    <d v="2021-10-21T00:00:00"/>
    <d v="2021-10-27T00:00:00"/>
    <s v="First Class"/>
    <x v="8"/>
    <s v="PROD044"/>
    <s v="Yogurt"/>
    <n v="3"/>
    <n v="0"/>
    <n v="7076.5"/>
  </r>
  <r>
    <s v="CUS045"/>
    <s v="Joseph"/>
    <s v="Jones"/>
    <n v="11595.62"/>
    <x v="0"/>
    <s v="Small"/>
    <s v="Tier 2"/>
    <x v="0"/>
    <x v="0"/>
    <s v="Consumer"/>
    <d v="2020-10-31T00:00:00"/>
    <s v="ORD045"/>
    <d v="2021-11-25T00:00:00"/>
    <d v="2021-11-27T00:00:00"/>
    <s v="First Class"/>
    <x v="4"/>
    <s v="PROD045"/>
    <s v="Pizzas"/>
    <n v="6"/>
    <n v="0.02"/>
    <n v="1819.63"/>
  </r>
  <r>
    <s v="CUS046"/>
    <s v="Joshua"/>
    <s v="Welch"/>
    <n v="40938.720000000001"/>
    <x v="3"/>
    <s v="Medium"/>
    <s v="Tier 3"/>
    <x v="1"/>
    <x v="3"/>
    <s v="Consumer"/>
    <d v="2019-07-05T00:00:00"/>
    <s v="ORD046"/>
    <d v="2023-08-16T00:00:00"/>
    <d v="2023-08-23T00:00:00"/>
    <s v="First Class"/>
    <x v="8"/>
    <s v="PROD046"/>
    <s v="Refrigerators"/>
    <n v="7"/>
    <n v="0.32"/>
    <n v="4902.8100000000004"/>
  </r>
  <r>
    <s v="CUS047"/>
    <s v="Victoria"/>
    <s v="Lang"/>
    <n v="43356.81"/>
    <x v="0"/>
    <s v="Small"/>
    <s v="Tier 2"/>
    <x v="3"/>
    <x v="2"/>
    <s v="Corporate"/>
    <d v="2021-06-10T00:00:00"/>
    <s v="ORD047"/>
    <d v="2019-11-25T00:00:00"/>
    <d v="2019-11-27T00:00:00"/>
    <s v="Standard Class"/>
    <x v="5"/>
    <s v="PROD047"/>
    <s v="Mangoes"/>
    <n v="10"/>
    <n v="0.14000000000000001"/>
    <n v="6415"/>
  </r>
  <r>
    <s v="CUS048"/>
    <s v="Amy"/>
    <s v="Armstrong"/>
    <n v="37449.42"/>
    <x v="3"/>
    <s v="Small"/>
    <s v="Tier 3"/>
    <x v="2"/>
    <x v="0"/>
    <s v="Consumer"/>
    <d v="2023-05-29T00:00:00"/>
    <s v="ORD048"/>
    <d v="2020-02-12T00:00:00"/>
    <d v="2020-02-18T00:00:00"/>
    <s v="Same Day"/>
    <x v="0"/>
    <s v="PROD048"/>
    <s v="Butter"/>
    <n v="1"/>
    <n v="0.4"/>
    <n v="5330.17"/>
  </r>
  <r>
    <s v="CUS049"/>
    <s v="Amber"/>
    <s v="Ramirez"/>
    <n v="378.65"/>
    <x v="1"/>
    <s v="Large"/>
    <s v="Tier 3"/>
    <x v="1"/>
    <x v="3"/>
    <s v="Consumer"/>
    <d v="2022-12-09T00:00:00"/>
    <s v="ORD049"/>
    <d v="2021-07-07T00:00:00"/>
    <d v="2021-07-12T00:00:00"/>
    <s v="First Class"/>
    <x v="0"/>
    <s v="PROD049"/>
    <s v="Washing Machines"/>
    <n v="6"/>
    <n v="0.44"/>
    <n v="30.32"/>
  </r>
  <r>
    <s v="CUS050"/>
    <s v="Patrick"/>
    <s v="Hickman"/>
    <n v="4596.0600000000004"/>
    <x v="2"/>
    <s v="Small"/>
    <s v="Tier 3"/>
    <x v="5"/>
    <x v="2"/>
    <s v="Corporate"/>
    <d v="2019-09-18T00:00:00"/>
    <s v="ORD050"/>
    <d v="2020-01-20T00:00:00"/>
    <d v="2020-01-23T00:00:00"/>
    <s v="Standard Class"/>
    <x v="8"/>
    <s v="PROD050"/>
    <s v="Detergents"/>
    <n v="1"/>
    <n v="0.09"/>
    <n v="566.91"/>
  </r>
  <r>
    <s v="CUS051"/>
    <s v="Misty"/>
    <s v="Fletcher"/>
    <n v="15945.03"/>
    <x v="3"/>
    <s v="Large"/>
    <s v="Tier 1"/>
    <x v="5"/>
    <x v="0"/>
    <s v="Consumer"/>
    <d v="2023-06-03T00:00:00"/>
    <s v="ORD051"/>
    <d v="2020-05-20T00:00:00"/>
    <d v="2020-05-23T00:00:00"/>
    <s v="Second Class"/>
    <x v="5"/>
    <s v="PROD051"/>
    <s v="Utensils"/>
    <n v="9"/>
    <n v="0.41"/>
    <n v="2139.7800000000002"/>
  </r>
  <r>
    <s v="CUS052"/>
    <s v="Michelle"/>
    <s v="Lozano"/>
    <n v="45056.72"/>
    <x v="2"/>
    <s v="Small"/>
    <s v="Tier 3"/>
    <x v="5"/>
    <x v="0"/>
    <s v="Corporate"/>
    <d v="2022-02-26T00:00:00"/>
    <s v="ORD052"/>
    <d v="2020-02-14T00:00:00"/>
    <d v="2020-02-20T00:00:00"/>
    <s v="Same Day"/>
    <x v="6"/>
    <s v="PROD052"/>
    <s v="Buckets"/>
    <n v="5"/>
    <n v="0.25"/>
    <n v="4495.91"/>
  </r>
  <r>
    <s v="CUS053"/>
    <s v="Kristen"/>
    <s v="Yang"/>
    <n v="14187.47"/>
    <x v="0"/>
    <s v="Small"/>
    <s v="Tier 2"/>
    <x v="2"/>
    <x v="0"/>
    <s v="Consumer"/>
    <d v="2021-01-15T00:00:00"/>
    <s v="ORD053"/>
    <d v="2019-03-13T00:00:00"/>
    <d v="2019-03-15T00:00:00"/>
    <s v="Standard Class"/>
    <x v="5"/>
    <s v="PROD053"/>
    <s v="Yogurt"/>
    <n v="8"/>
    <n v="0.17"/>
    <n v="3102.02"/>
  </r>
  <r>
    <s v="CUS054"/>
    <s v="Michael"/>
    <s v="Ortega"/>
    <n v="3119.4"/>
    <x v="3"/>
    <s v="Large"/>
    <s v="Tier 2"/>
    <x v="3"/>
    <x v="2"/>
    <s v="Corporate"/>
    <d v="2022-01-10T00:00:00"/>
    <s v="ORD054"/>
    <d v="2023-06-20T00:00:00"/>
    <d v="2023-06-23T00:00:00"/>
    <s v="Standard Class"/>
    <x v="5"/>
    <s v="PROD054"/>
    <s v="Mangoes"/>
    <n v="9"/>
    <n v="0.1"/>
    <n v="399.27"/>
  </r>
  <r>
    <s v="CUS055"/>
    <s v="Nancy"/>
    <s v="Wilson"/>
    <n v="5552.12"/>
    <x v="1"/>
    <s v="Large"/>
    <s v="Tier 1"/>
    <x v="5"/>
    <x v="2"/>
    <s v="Corporate"/>
    <d v="2019-03-16T00:00:00"/>
    <s v="ORD055"/>
    <d v="2020-10-07T00:00:00"/>
    <d v="2020-10-08T00:00:00"/>
    <s v="Standard Class"/>
    <x v="5"/>
    <s v="PROD055"/>
    <s v="Buckets"/>
    <n v="1"/>
    <n v="0.17"/>
    <n v="601.64"/>
  </r>
  <r>
    <s v="CUS056"/>
    <s v="Jay"/>
    <s v="Bell"/>
    <n v="46089.88"/>
    <x v="1"/>
    <s v="Small"/>
    <s v="Tier 3"/>
    <x v="1"/>
    <x v="0"/>
    <s v="Corporate"/>
    <d v="2023-04-08T00:00:00"/>
    <s v="ORD056"/>
    <d v="2022-03-22T00:00:00"/>
    <d v="2022-03-28T00:00:00"/>
    <s v="Same Day"/>
    <x v="8"/>
    <s v="PROD056"/>
    <s v="Washing Machines"/>
    <n v="3"/>
    <n v="0.32"/>
    <n v="3186.9"/>
  </r>
  <r>
    <s v="CUS057"/>
    <s v="John"/>
    <s v="Miles"/>
    <n v="41202.61"/>
    <x v="1"/>
    <s v="Medium"/>
    <s v="Tier 2"/>
    <x v="2"/>
    <x v="1"/>
    <s v="Consumer"/>
    <d v="2021-08-13T00:00:00"/>
    <s v="ORD057"/>
    <d v="2021-11-09T00:00:00"/>
    <d v="2021-11-12T00:00:00"/>
    <s v="Same Day"/>
    <x v="8"/>
    <s v="PROD057"/>
    <s v="Cheese"/>
    <n v="3"/>
    <n v="0.38"/>
    <n v="3039.9"/>
  </r>
  <r>
    <s v="CUS058"/>
    <s v="Courtney"/>
    <s v="Mejia"/>
    <n v="35606.550000000003"/>
    <x v="3"/>
    <s v="Small"/>
    <s v="Tier 3"/>
    <x v="1"/>
    <x v="0"/>
    <s v="Consumer"/>
    <d v="2019-12-28T00:00:00"/>
    <s v="ORD058"/>
    <d v="2019-06-26T00:00:00"/>
    <d v="2019-06-30T00:00:00"/>
    <s v="Standard Class"/>
    <x v="1"/>
    <s v="PROD058"/>
    <s v="Washing Machines"/>
    <n v="4"/>
    <n v="0.42"/>
    <n v="3162.47"/>
  </r>
  <r>
    <s v="CUS059"/>
    <s v="Sharon"/>
    <s v="Gonzalez"/>
    <n v="25717.31"/>
    <x v="4"/>
    <s v="Large"/>
    <s v="Tier 3"/>
    <x v="2"/>
    <x v="3"/>
    <s v="Corporate"/>
    <d v="2021-11-29T00:00:00"/>
    <s v="ORD059"/>
    <d v="2021-05-04T00:00:00"/>
    <d v="2021-05-10T00:00:00"/>
    <s v="First Class"/>
    <x v="0"/>
    <s v="PROD059"/>
    <s v="Cheese"/>
    <n v="7"/>
    <n v="0.08"/>
    <n v="4469.55"/>
  </r>
  <r>
    <s v="CUS060"/>
    <s v="Thomas"/>
    <s v="Hill"/>
    <n v="18052.48"/>
    <x v="1"/>
    <s v="Medium"/>
    <s v="Tier 2"/>
    <x v="2"/>
    <x v="3"/>
    <s v="Corporate"/>
    <d v="2023-10-17T00:00:00"/>
    <s v="ORD060"/>
    <d v="2020-08-06T00:00:00"/>
    <d v="2020-08-08T00:00:00"/>
    <s v="First Class"/>
    <x v="2"/>
    <s v="PROD060"/>
    <s v="Milk"/>
    <n v="2"/>
    <n v="0.35"/>
    <n v="1386.25"/>
  </r>
  <r>
    <s v="CUS061"/>
    <s v="Jeffrey"/>
    <s v="Lopez"/>
    <n v="24074.86"/>
    <x v="0"/>
    <s v="Large"/>
    <s v="Tier 1"/>
    <x v="4"/>
    <x v="3"/>
    <s v="Corporate"/>
    <d v="2020-08-17T00:00:00"/>
    <s v="ORD061"/>
    <d v="2019-08-01T00:00:00"/>
    <d v="2019-08-02T00:00:00"/>
    <s v="Second Class"/>
    <x v="0"/>
    <s v="PROD061"/>
    <s v="Tables"/>
    <n v="1"/>
    <n v="0.14000000000000001"/>
    <n v="4149.3500000000004"/>
  </r>
  <r>
    <s v="CUS062"/>
    <s v="Chad"/>
    <s v="Holmes"/>
    <n v="17103.72"/>
    <x v="2"/>
    <s v="Large"/>
    <s v="Tier 1"/>
    <x v="2"/>
    <x v="0"/>
    <s v="Consumer"/>
    <d v="2023-02-17T00:00:00"/>
    <s v="ORD062"/>
    <d v="2020-05-12T00:00:00"/>
    <d v="2020-05-19T00:00:00"/>
    <s v="Same Day"/>
    <x v="2"/>
    <s v="PROD062"/>
    <s v="Yogurt"/>
    <n v="10"/>
    <n v="0.35"/>
    <n v="1522.18"/>
  </r>
  <r>
    <s v="CUS063"/>
    <s v="Laura"/>
    <s v="Koch"/>
    <n v="33223"/>
    <x v="2"/>
    <s v="Large"/>
    <s v="Tier 1"/>
    <x v="3"/>
    <x v="1"/>
    <s v="Corporate"/>
    <d v="2022-01-07T00:00:00"/>
    <s v="ORD063"/>
    <d v="2023-07-15T00:00:00"/>
    <d v="2023-07-17T00:00:00"/>
    <s v="Standard Class"/>
    <x v="0"/>
    <s v="PROD063"/>
    <s v="Mangoes"/>
    <n v="2"/>
    <n v="0.47"/>
    <n v="4928.08"/>
  </r>
  <r>
    <s v="CUS064"/>
    <s v="Laura"/>
    <s v="Johnson"/>
    <n v="5549.65"/>
    <x v="2"/>
    <s v="Large"/>
    <s v="Tier 3"/>
    <x v="1"/>
    <x v="1"/>
    <s v="Consumer"/>
    <d v="2023-11-25T00:00:00"/>
    <s v="ORD064"/>
    <d v="2020-06-09T00:00:00"/>
    <d v="2020-06-13T00:00:00"/>
    <s v="First Class"/>
    <x v="7"/>
    <s v="PROD064"/>
    <s v="Microwaves"/>
    <n v="3"/>
    <n v="0.28999999999999998"/>
    <n v="563.05999999999995"/>
  </r>
  <r>
    <s v="CUS065"/>
    <s v="Daniel"/>
    <s v="Clark"/>
    <n v="1941.21"/>
    <x v="0"/>
    <s v="Medium"/>
    <s v="Tier 3"/>
    <x v="4"/>
    <x v="2"/>
    <s v="Consumer"/>
    <d v="2021-09-04T00:00:00"/>
    <s v="ORD065"/>
    <d v="2022-04-19T00:00:00"/>
    <d v="2022-04-23T00:00:00"/>
    <s v="First Class"/>
    <x v="1"/>
    <s v="PROD065"/>
    <s v="Sofas"/>
    <n v="7"/>
    <n v="0.24"/>
    <n v="303.42"/>
  </r>
  <r>
    <s v="CUS066"/>
    <s v="Katherine"/>
    <s v="Clark"/>
    <n v="5961.75"/>
    <x v="1"/>
    <s v="Large"/>
    <s v="Tier 2"/>
    <x v="5"/>
    <x v="3"/>
    <s v="Consumer"/>
    <d v="2019-10-23T00:00:00"/>
    <s v="ORD066"/>
    <d v="2020-07-22T00:00:00"/>
    <d v="2020-07-23T00:00:00"/>
    <s v="Same Day"/>
    <x v="9"/>
    <s v="PROD066"/>
    <s v="Utensils"/>
    <n v="10"/>
    <n v="0.47"/>
    <n v="403.06"/>
  </r>
  <r>
    <s v="CUS067"/>
    <s v="Dustin"/>
    <s v="Bryant"/>
    <n v="15033.44"/>
    <x v="1"/>
    <s v="Large"/>
    <s v="Tier 3"/>
    <x v="1"/>
    <x v="2"/>
    <s v="Corporate"/>
    <d v="2019-09-10T00:00:00"/>
    <s v="ORD067"/>
    <d v="2019-01-05T00:00:00"/>
    <d v="2019-01-10T00:00:00"/>
    <s v="First Class"/>
    <x v="7"/>
    <s v="PROD067"/>
    <s v="Fans"/>
    <n v="3"/>
    <n v="0.15"/>
    <n v="2058.14"/>
  </r>
  <r>
    <s v="CUS068"/>
    <s v="Victor"/>
    <s v="Hall"/>
    <n v="21552.93"/>
    <x v="1"/>
    <s v="Medium"/>
    <s v="Tier 3"/>
    <x v="1"/>
    <x v="0"/>
    <s v="Consumer"/>
    <d v="2022-08-31T00:00:00"/>
    <s v="ORD068"/>
    <d v="2021-09-07T00:00:00"/>
    <d v="2021-09-14T00:00:00"/>
    <s v="Second Class"/>
    <x v="6"/>
    <s v="PROD068"/>
    <s v="Fans"/>
    <n v="5"/>
    <n v="0.37"/>
    <n v="1492.29"/>
  </r>
  <r>
    <s v="CUS069"/>
    <s v="Rebecca"/>
    <s v="Lawrence"/>
    <n v="4878.1499999999996"/>
    <x v="2"/>
    <s v="Medium"/>
    <s v="Tier 2"/>
    <x v="2"/>
    <x v="3"/>
    <s v="Corporate"/>
    <d v="2023-12-16T00:00:00"/>
    <s v="ORD069"/>
    <d v="2023-05-01T00:00:00"/>
    <d v="2023-05-08T00:00:00"/>
    <s v="First Class"/>
    <x v="6"/>
    <s v="PROD069"/>
    <s v="Cheese"/>
    <n v="7"/>
    <n v="0.31"/>
    <n v="468.53"/>
  </r>
  <r>
    <s v="CUS070"/>
    <s v="Kara"/>
    <s v="Galvan"/>
    <n v="46801.69"/>
    <x v="4"/>
    <s v="Medium"/>
    <s v="Tier 2"/>
    <x v="2"/>
    <x v="0"/>
    <s v="Corporate"/>
    <d v="2019-08-30T00:00:00"/>
    <s v="ORD070"/>
    <d v="2022-06-07T00:00:00"/>
    <d v="2022-06-10T00:00:00"/>
    <s v="Same Day"/>
    <x v="8"/>
    <s v="PROD070"/>
    <s v="Milk"/>
    <n v="10"/>
    <n v="0.45"/>
    <n v="6319.46"/>
  </r>
  <r>
    <s v="CUS071"/>
    <s v="Anthony"/>
    <s v="Fox"/>
    <n v="22971.7"/>
    <x v="3"/>
    <s v="Small"/>
    <s v="Tier 3"/>
    <x v="0"/>
    <x v="3"/>
    <s v="Corporate"/>
    <d v="2023-02-17T00:00:00"/>
    <s v="ORD071"/>
    <d v="2023-08-06T00:00:00"/>
    <d v="2023-08-08T00:00:00"/>
    <s v="Second Class"/>
    <x v="7"/>
    <s v="PROD071"/>
    <s v="Fries"/>
    <n v="1"/>
    <n v="0.28999999999999998"/>
    <n v="3182.37"/>
  </r>
  <r>
    <s v="CUS072"/>
    <s v="Teresa"/>
    <s v="Adams"/>
    <n v="49342.22"/>
    <x v="2"/>
    <s v="Medium"/>
    <s v="Tier 1"/>
    <x v="3"/>
    <x v="2"/>
    <s v="Corporate"/>
    <d v="2020-05-10T00:00:00"/>
    <s v="ORD072"/>
    <d v="2021-05-21T00:00:00"/>
    <d v="2021-05-26T00:00:00"/>
    <s v="Standard Class"/>
    <x v="9"/>
    <s v="PROD072"/>
    <s v="Tomatoes"/>
    <n v="10"/>
    <n v="0.28999999999999998"/>
    <n v="7270.12"/>
  </r>
  <r>
    <s v="CUS073"/>
    <s v="Evelyn"/>
    <s v="Parker"/>
    <n v="4357.8500000000004"/>
    <x v="3"/>
    <s v="Large"/>
    <s v="Tier 2"/>
    <x v="0"/>
    <x v="1"/>
    <s v="Corporate"/>
    <d v="2022-06-21T00:00:00"/>
    <s v="ORD073"/>
    <d v="2022-01-12T00:00:00"/>
    <d v="2022-01-13T00:00:00"/>
    <s v="Standard Class"/>
    <x v="8"/>
    <s v="PROD073"/>
    <s v="Pizzas"/>
    <n v="4"/>
    <n v="0.38"/>
    <n v="299.27999999999997"/>
  </r>
  <r>
    <s v="CUS074"/>
    <s v="Elizabeth"/>
    <s v="Hammond"/>
    <n v="37866.050000000003"/>
    <x v="2"/>
    <s v="Small"/>
    <s v="Tier 1"/>
    <x v="1"/>
    <x v="2"/>
    <s v="Corporate"/>
    <d v="2023-06-11T00:00:00"/>
    <s v="ORD074"/>
    <d v="2023-11-20T00:00:00"/>
    <d v="2023-11-23T00:00:00"/>
    <s v="Same Day"/>
    <x v="9"/>
    <s v="PROD074"/>
    <s v="Fans"/>
    <n v="1"/>
    <n v="7.0000000000000007E-2"/>
    <n v="9406.68"/>
  </r>
  <r>
    <s v="CUS075"/>
    <s v="Denise"/>
    <s v="Lynch"/>
    <n v="10613.65"/>
    <x v="2"/>
    <s v="Large"/>
    <s v="Tier 2"/>
    <x v="0"/>
    <x v="1"/>
    <s v="Consumer"/>
    <d v="2021-05-19T00:00:00"/>
    <s v="ORD075"/>
    <d v="2022-09-24T00:00:00"/>
    <d v="2022-09-30T00:00:00"/>
    <s v="First Class"/>
    <x v="4"/>
    <s v="PROD075"/>
    <s v="Fries"/>
    <n v="6"/>
    <n v="0.04"/>
    <n v="2632.64"/>
  </r>
  <r>
    <s v="CUS076"/>
    <s v="Carrie"/>
    <s v="Nguyen"/>
    <n v="34132.43"/>
    <x v="1"/>
    <s v="Small"/>
    <s v="Tier 1"/>
    <x v="1"/>
    <x v="2"/>
    <s v="Corporate"/>
    <d v="2021-02-24T00:00:00"/>
    <s v="ORD076"/>
    <d v="2021-12-14T00:00:00"/>
    <d v="2021-12-21T00:00:00"/>
    <s v="Same Day"/>
    <x v="7"/>
    <s v="PROD076"/>
    <s v="Fans"/>
    <n v="6"/>
    <n v="0.04"/>
    <n v="8067.39"/>
  </r>
  <r>
    <s v="CUS077"/>
    <s v="Danielle"/>
    <s v="Ramirez"/>
    <n v="32935.9"/>
    <x v="2"/>
    <s v="Medium"/>
    <s v="Tier 3"/>
    <x v="2"/>
    <x v="2"/>
    <s v="Consumer"/>
    <d v="2020-03-13T00:00:00"/>
    <s v="ORD077"/>
    <d v="2023-01-09T00:00:00"/>
    <d v="2023-01-12T00:00:00"/>
    <s v="Standard Class"/>
    <x v="5"/>
    <s v="PROD077"/>
    <s v="Butter"/>
    <n v="8"/>
    <n v="0.38"/>
    <n v="5988.54"/>
  </r>
  <r>
    <s v="CUS078"/>
    <s v="Jennifer"/>
    <s v="Cox"/>
    <n v="22501.5"/>
    <x v="4"/>
    <s v="Small"/>
    <s v="Tier 2"/>
    <x v="0"/>
    <x v="2"/>
    <s v="Corporate"/>
    <d v="2022-03-15T00:00:00"/>
    <s v="ORD078"/>
    <d v="2021-12-11T00:00:00"/>
    <d v="2021-12-14T00:00:00"/>
    <s v="First Class"/>
    <x v="6"/>
    <s v="PROD078"/>
    <s v="Pizzas"/>
    <n v="9"/>
    <n v="0.49"/>
    <n v="2189.44"/>
  </r>
  <r>
    <s v="CUS079"/>
    <s v="Anita"/>
    <s v="Smith"/>
    <n v="4064.52"/>
    <x v="2"/>
    <s v="Large"/>
    <s v="Tier 1"/>
    <x v="2"/>
    <x v="2"/>
    <s v="Corporate"/>
    <d v="2019-07-27T00:00:00"/>
    <s v="ORD079"/>
    <d v="2019-06-17T00:00:00"/>
    <d v="2019-06-24T00:00:00"/>
    <s v="Standard Class"/>
    <x v="4"/>
    <s v="PROD079"/>
    <s v="Cheese"/>
    <n v="10"/>
    <n v="0.31"/>
    <n v="369.06"/>
  </r>
  <r>
    <s v="CUS080"/>
    <s v="John"/>
    <s v="Williams"/>
    <n v="19218.16"/>
    <x v="3"/>
    <s v="Small"/>
    <s v="Tier 2"/>
    <x v="4"/>
    <x v="3"/>
    <s v="Corporate"/>
    <d v="2019-06-18T00:00:00"/>
    <s v="ORD080"/>
    <d v="2020-06-21T00:00:00"/>
    <d v="2020-06-27T00:00:00"/>
    <s v="Second Class"/>
    <x v="8"/>
    <s v="PROD080"/>
    <s v="Tables"/>
    <n v="3"/>
    <n v="0.22"/>
    <n v="2588.25"/>
  </r>
  <r>
    <s v="CUS081"/>
    <s v="Karen"/>
    <s v="Browning"/>
    <n v="21489.08"/>
    <x v="4"/>
    <s v="Large"/>
    <s v="Tier 2"/>
    <x v="2"/>
    <x v="3"/>
    <s v="Corporate"/>
    <d v="2023-09-05T00:00:00"/>
    <s v="ORD081"/>
    <d v="2021-05-30T00:00:00"/>
    <d v="2021-06-04T00:00:00"/>
    <s v="First Class"/>
    <x v="0"/>
    <s v="PROD081"/>
    <s v="Yogurt"/>
    <n v="2"/>
    <n v="0.25"/>
    <n v="2286.15"/>
  </r>
  <r>
    <s v="CUS082"/>
    <s v="Kathryn"/>
    <s v="Lee"/>
    <n v="2183.3000000000002"/>
    <x v="1"/>
    <s v="Large"/>
    <s v="Tier 3"/>
    <x v="1"/>
    <x v="0"/>
    <s v="Consumer"/>
    <d v="2022-12-01T00:00:00"/>
    <s v="ORD082"/>
    <d v="2022-12-02T00:00:00"/>
    <d v="2022-12-09T00:00:00"/>
    <s v="Second Class"/>
    <x v="2"/>
    <s v="PROD082"/>
    <s v="Microwaves"/>
    <n v="3"/>
    <n v="0.49"/>
    <n v="205.17"/>
  </r>
  <r>
    <s v="CUS083"/>
    <s v="John"/>
    <s v="May"/>
    <n v="4252.58"/>
    <x v="4"/>
    <s v="Large"/>
    <s v="Tier 1"/>
    <x v="0"/>
    <x v="2"/>
    <s v="Corporate"/>
    <d v="2022-12-22T00:00:00"/>
    <s v="ORD083"/>
    <d v="2023-01-15T00:00:00"/>
    <d v="2023-01-21T00:00:00"/>
    <s v="Standard Class"/>
    <x v="1"/>
    <s v="PROD083"/>
    <s v="Burgers"/>
    <n v="2"/>
    <n v="0.04"/>
    <n v="830.09"/>
  </r>
  <r>
    <s v="CUS084"/>
    <s v="Michael"/>
    <s v="King"/>
    <n v="12502.21"/>
    <x v="2"/>
    <s v="Large"/>
    <s v="Tier 2"/>
    <x v="1"/>
    <x v="1"/>
    <s v="Consumer"/>
    <d v="2019-05-04T00:00:00"/>
    <s v="ORD084"/>
    <d v="2020-03-15T00:00:00"/>
    <d v="2020-03-18T00:00:00"/>
    <s v="Standard Class"/>
    <x v="3"/>
    <s v="PROD084"/>
    <s v="Refrigerators"/>
    <n v="10"/>
    <n v="0.49"/>
    <n v="1738.42"/>
  </r>
  <r>
    <s v="CUS085"/>
    <s v="Jessica"/>
    <s v="Ruiz"/>
    <n v="44441.84"/>
    <x v="4"/>
    <s v="Medium"/>
    <s v="Tier 2"/>
    <x v="5"/>
    <x v="0"/>
    <s v="Consumer"/>
    <d v="2019-07-23T00:00:00"/>
    <s v="ORD085"/>
    <d v="2019-02-20T00:00:00"/>
    <d v="2019-02-24T00:00:00"/>
    <s v="Standard Class"/>
    <x v="9"/>
    <s v="PROD085"/>
    <s v="Utensils"/>
    <n v="5"/>
    <n v="0.5"/>
    <n v="4751.1099999999997"/>
  </r>
  <r>
    <s v="CUS086"/>
    <s v="Carlos"/>
    <s v="Moore"/>
    <n v="2951.07"/>
    <x v="2"/>
    <s v="Small"/>
    <s v="Tier 3"/>
    <x v="2"/>
    <x v="0"/>
    <s v="Corporate"/>
    <d v="2021-05-25T00:00:00"/>
    <s v="ORD086"/>
    <d v="2021-08-21T00:00:00"/>
    <d v="2021-08-27T00:00:00"/>
    <s v="Standard Class"/>
    <x v="6"/>
    <s v="PROD086"/>
    <s v="Yogurt"/>
    <n v="8"/>
    <n v="0.37"/>
    <n v="504.53"/>
  </r>
  <r>
    <s v="CUS087"/>
    <s v="Tiffany"/>
    <s v="Bautista"/>
    <n v="33732.85"/>
    <x v="0"/>
    <s v="Small"/>
    <s v="Tier 1"/>
    <x v="2"/>
    <x v="2"/>
    <s v="Corporate"/>
    <d v="2023-12-10T00:00:00"/>
    <s v="ORD087"/>
    <d v="2021-07-09T00:00:00"/>
    <d v="2021-07-15T00:00:00"/>
    <s v="Second Class"/>
    <x v="4"/>
    <s v="PROD087"/>
    <s v="Yogurt"/>
    <n v="7"/>
    <n v="0.3"/>
    <n v="5107.71"/>
  </r>
  <r>
    <s v="CUS088"/>
    <s v="David"/>
    <s v="Eaton"/>
    <n v="2190.27"/>
    <x v="3"/>
    <s v="Medium"/>
    <s v="Tier 3"/>
    <x v="3"/>
    <x v="0"/>
    <s v="Consumer"/>
    <d v="2021-01-29T00:00:00"/>
    <s v="ORD088"/>
    <d v="2019-06-23T00:00:00"/>
    <d v="2019-06-24T00:00:00"/>
    <s v="First Class"/>
    <x v="6"/>
    <s v="PROD088"/>
    <s v="Tomatoes"/>
    <n v="4"/>
    <n v="0.03"/>
    <n v="599.14"/>
  </r>
  <r>
    <s v="CUS089"/>
    <s v="Jose"/>
    <s v="Carrillo"/>
    <n v="49298.05"/>
    <x v="3"/>
    <s v="Small"/>
    <s v="Tier 1"/>
    <x v="1"/>
    <x v="1"/>
    <s v="Consumer"/>
    <d v="2019-03-13T00:00:00"/>
    <s v="ORD089"/>
    <d v="2020-03-21T00:00:00"/>
    <d v="2020-03-26T00:00:00"/>
    <s v="Second Class"/>
    <x v="2"/>
    <s v="PROD089"/>
    <s v="Refrigerators"/>
    <n v="8"/>
    <n v="0.02"/>
    <n v="7957.55"/>
  </r>
  <r>
    <s v="CUS090"/>
    <s v="Matthew"/>
    <s v="Lucero"/>
    <n v="18541.080000000002"/>
    <x v="3"/>
    <s v="Small"/>
    <s v="Tier 1"/>
    <x v="0"/>
    <x v="3"/>
    <s v="Corporate"/>
    <d v="2021-08-19T00:00:00"/>
    <s v="ORD090"/>
    <d v="2019-06-01T00:00:00"/>
    <d v="2019-06-02T00:00:00"/>
    <s v="Second Class"/>
    <x v="0"/>
    <s v="PROD090"/>
    <s v="Sandwiches"/>
    <n v="3"/>
    <n v="0.45"/>
    <n v="2815.08"/>
  </r>
  <r>
    <s v="CUS091"/>
    <s v="Rebekah"/>
    <s v="Hill"/>
    <n v="14362.94"/>
    <x v="1"/>
    <s v="Small"/>
    <s v="Tier 2"/>
    <x v="3"/>
    <x v="3"/>
    <s v="Consumer"/>
    <d v="2021-08-08T00:00:00"/>
    <s v="ORD091"/>
    <d v="2021-10-11T00:00:00"/>
    <d v="2021-10-12T00:00:00"/>
    <s v="Same Day"/>
    <x v="7"/>
    <s v="PROD091"/>
    <s v="Tomatoes"/>
    <n v="7"/>
    <n v="0.41"/>
    <n v="2417.7199999999998"/>
  </r>
  <r>
    <s v="CUS092"/>
    <s v="Todd"/>
    <s v="Chapman"/>
    <n v="22134.74"/>
    <x v="1"/>
    <s v="Medium"/>
    <s v="Tier 1"/>
    <x v="4"/>
    <x v="0"/>
    <s v="Consumer"/>
    <d v="2021-12-28T00:00:00"/>
    <s v="ORD092"/>
    <d v="2022-11-25T00:00:00"/>
    <d v="2022-11-30T00:00:00"/>
    <s v="First Class"/>
    <x v="1"/>
    <s v="PROD092"/>
    <s v="Sofas"/>
    <n v="2"/>
    <n v="0.39"/>
    <n v="2313.9699999999998"/>
  </r>
  <r>
    <s v="CUS093"/>
    <s v="Samantha"/>
    <s v="Martinez"/>
    <n v="3485.44"/>
    <x v="2"/>
    <s v="Medium"/>
    <s v="Tier 1"/>
    <x v="5"/>
    <x v="0"/>
    <s v="Corporate"/>
    <d v="2022-04-18T00:00:00"/>
    <s v="ORD093"/>
    <d v="2023-01-11T00:00:00"/>
    <d v="2023-01-14T00:00:00"/>
    <s v="Same Day"/>
    <x v="8"/>
    <s v="PROD093"/>
    <s v="Detergents"/>
    <n v="1"/>
    <n v="0.01"/>
    <n v="535.1"/>
  </r>
  <r>
    <s v="CUS094"/>
    <s v="Angela"/>
    <s v="Brown"/>
    <n v="13846.12"/>
    <x v="3"/>
    <s v="Small"/>
    <s v="Tier 2"/>
    <x v="4"/>
    <x v="1"/>
    <s v="Corporate"/>
    <d v="2021-04-05T00:00:00"/>
    <s v="ORD094"/>
    <d v="2022-04-21T00:00:00"/>
    <d v="2022-04-26T00:00:00"/>
    <s v="Second Class"/>
    <x v="0"/>
    <s v="PROD094"/>
    <s v="Sofas"/>
    <n v="3"/>
    <n v="0.37"/>
    <n v="2195.9499999999998"/>
  </r>
  <r>
    <s v="CUS095"/>
    <s v="Lauren"/>
    <s v="Reed"/>
    <n v="31236.77"/>
    <x v="2"/>
    <s v="Medium"/>
    <s v="Tier 2"/>
    <x v="5"/>
    <x v="2"/>
    <s v="Corporate"/>
    <d v="2019-12-04T00:00:00"/>
    <s v="ORD095"/>
    <d v="2022-02-25T00:00:00"/>
    <d v="2022-03-01T00:00:00"/>
    <s v="Second Class"/>
    <x v="8"/>
    <s v="PROD095"/>
    <s v="Detergents"/>
    <n v="1"/>
    <n v="0"/>
    <n v="7427.19"/>
  </r>
  <r>
    <s v="CUS096"/>
    <s v="Sandra"/>
    <s v="Hubbard"/>
    <n v="40544.54"/>
    <x v="4"/>
    <s v="Medium"/>
    <s v="Tier 1"/>
    <x v="0"/>
    <x v="3"/>
    <s v="Corporate"/>
    <d v="2023-06-14T00:00:00"/>
    <s v="ORD096"/>
    <d v="2020-10-19T00:00:00"/>
    <d v="2020-10-25T00:00:00"/>
    <s v="Same Day"/>
    <x v="6"/>
    <s v="PROD096"/>
    <s v="Burgers"/>
    <n v="8"/>
    <n v="0.03"/>
    <n v="7015.28"/>
  </r>
  <r>
    <s v="CUS097"/>
    <s v="Marcus"/>
    <s v="Barker"/>
    <n v="45706.34"/>
    <x v="2"/>
    <s v="Small"/>
    <s v="Tier 3"/>
    <x v="2"/>
    <x v="3"/>
    <s v="Corporate"/>
    <d v="2023-09-30T00:00:00"/>
    <s v="ORD097"/>
    <d v="2023-03-30T00:00:00"/>
    <d v="2023-04-03T00:00:00"/>
    <s v="Second Class"/>
    <x v="0"/>
    <s v="PROD097"/>
    <s v="Butter"/>
    <n v="1"/>
    <n v="0.08"/>
    <n v="6356.72"/>
  </r>
  <r>
    <s v="CUS098"/>
    <s v="Kimberly"/>
    <s v="Mccall"/>
    <n v="3718.28"/>
    <x v="4"/>
    <s v="Medium"/>
    <s v="Tier 1"/>
    <x v="4"/>
    <x v="0"/>
    <s v="Consumer"/>
    <d v="2022-05-06T00:00:00"/>
    <s v="ORD098"/>
    <d v="2021-01-11T00:00:00"/>
    <d v="2021-01-13T00:00:00"/>
    <s v="Standard Class"/>
    <x v="6"/>
    <s v="PROD098"/>
    <s v="Chairs"/>
    <n v="4"/>
    <n v="0.3"/>
    <n v="685.51"/>
  </r>
  <r>
    <s v="CUS099"/>
    <s v="Karen"/>
    <s v="Mason"/>
    <n v="6704.71"/>
    <x v="0"/>
    <s v="Large"/>
    <s v="Tier 1"/>
    <x v="3"/>
    <x v="1"/>
    <s v="Corporate"/>
    <d v="2023-06-23T00:00:00"/>
    <s v="ORD099"/>
    <d v="2023-05-04T00:00:00"/>
    <d v="2023-05-11T00:00:00"/>
    <s v="Standard Class"/>
    <x v="3"/>
    <s v="PROD099"/>
    <s v="Mangoes"/>
    <n v="8"/>
    <n v="0.34"/>
    <n v="1210.03"/>
  </r>
  <r>
    <s v="CUS100"/>
    <s v="Sharon"/>
    <s v="Rangel"/>
    <n v="3002.3"/>
    <x v="1"/>
    <s v="Medium"/>
    <s v="Tier 2"/>
    <x v="4"/>
    <x v="2"/>
    <s v="Corporate"/>
    <d v="2020-03-15T00:00:00"/>
    <s v="ORD100"/>
    <d v="2019-05-25T00:00:00"/>
    <d v="2019-06-01T00:00:00"/>
    <s v="Second Class"/>
    <x v="1"/>
    <s v="PROD100"/>
    <s v="Sofas"/>
    <n v="10"/>
    <n v="0.25"/>
    <n v="417.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D6D811-0B8E-4099-A89D-FAD2F7CBAF7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1">
    <pivotField showAll="0"/>
    <pivotField showAll="0"/>
    <pivotField showAll="0"/>
    <pivotField dataField="1" numFmtId="164" showAll="0"/>
    <pivotField showAll="0">
      <items count="6">
        <item x="3"/>
        <item x="4"/>
        <item x="2"/>
        <item x="1"/>
        <item x="0"/>
        <item t="default"/>
      </items>
    </pivotField>
    <pivotField showAll="0"/>
    <pivotField showAll="0"/>
    <pivotField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showAll="0"/>
    <pivotField numFmtId="9" showAll="0"/>
    <pivotField numFmtId="164" showAll="0"/>
  </pivotFields>
  <rowItems count="1">
    <i/>
  </rowItems>
  <colItems count="1">
    <i/>
  </colItems>
  <dataFields count="1">
    <dataField name="Sum of Sales" fld="3"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40F483-29BE-45D7-99B2-EF7B6EBD724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B10" firstHeaderRow="1" firstDataRow="1" firstDataCol="0"/>
  <pivotFields count="21">
    <pivotField showAll="0"/>
    <pivotField showAll="0"/>
    <pivotField showAll="0"/>
    <pivotField numFmtId="164" showAll="0"/>
    <pivotField showAll="0">
      <items count="6">
        <item x="3"/>
        <item x="4"/>
        <item x="2"/>
        <item x="1"/>
        <item x="0"/>
        <item t="default"/>
      </items>
    </pivotField>
    <pivotField showAll="0"/>
    <pivotField showAll="0"/>
    <pivotField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showAll="0"/>
    <pivotField numFmtId="9" showAll="0"/>
    <pivotField dataField="1" numFmtId="164" showAll="0"/>
  </pivotFields>
  <rowItems count="1">
    <i/>
  </rowItems>
  <colItems count="1">
    <i/>
  </colItems>
  <dataFields count="1">
    <dataField name="Sum of Profit" fld="20"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61D4A9-C984-4CB9-B721-8C441469C23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21">
    <pivotField showAll="0"/>
    <pivotField showAll="0"/>
    <pivotField showAll="0"/>
    <pivotField numFmtId="164" showAll="0"/>
    <pivotField showAll="0">
      <items count="6">
        <item x="3"/>
        <item x="4"/>
        <item x="2"/>
        <item x="1"/>
        <item x="0"/>
        <item t="default"/>
      </items>
    </pivotField>
    <pivotField showAll="0"/>
    <pivotField showAll="0"/>
    <pivotField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showAll="0"/>
    <pivotField dataField="1" numFmtId="9" showAll="0"/>
    <pivotField numFmtId="164" showAll="0"/>
  </pivotFields>
  <rowItems count="1">
    <i/>
  </rowItems>
  <colItems count="1">
    <i/>
  </colItems>
  <dataFields count="1">
    <dataField name="Average of Discount" fld="1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A27459-D539-45B6-BC0A-40DC96457D2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1">
    <pivotField showAll="0"/>
    <pivotField showAll="0"/>
    <pivotField showAll="0"/>
    <pivotField numFmtId="164" showAll="0"/>
    <pivotField showAll="0">
      <items count="6">
        <item x="3"/>
        <item x="4"/>
        <item x="2"/>
        <item x="1"/>
        <item x="0"/>
        <item t="default"/>
      </items>
    </pivotField>
    <pivotField showAll="0"/>
    <pivotField showAll="0"/>
    <pivotField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dataField="1" showAll="0"/>
    <pivotField numFmtId="9" showAll="0"/>
    <pivotField numFmtId="164"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B464DB-6ED8-4E55-B8EA-8A0B850E09B6}" name="PivotTable2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46:C50" firstHeaderRow="1" firstDataRow="1" firstDataCol="1"/>
  <pivotFields count="21">
    <pivotField showAll="0"/>
    <pivotField showAll="0"/>
    <pivotField showAll="0"/>
    <pivotField numFmtId="164" showAll="0"/>
    <pivotField showAll="0">
      <items count="6">
        <item x="3"/>
        <item x="4"/>
        <item x="2"/>
        <item x="1"/>
        <item x="0"/>
        <item t="default"/>
      </items>
    </pivotField>
    <pivotField showAll="0"/>
    <pivotField showAll="0"/>
    <pivotField showAll="0">
      <items count="7">
        <item x="2"/>
        <item x="1"/>
        <item x="0"/>
        <item x="3"/>
        <item x="4"/>
        <item x="5"/>
        <item t="default"/>
      </items>
    </pivotField>
    <pivotField axis="axisRow" showAll="0" sortType="descending">
      <items count="5">
        <item x="2"/>
        <item x="1"/>
        <item x="3"/>
        <item x="0"/>
        <item t="default"/>
      </items>
    </pivotField>
    <pivotField showAll="0"/>
    <pivotField numFmtId="14" showAll="0"/>
    <pivotField showAll="0"/>
    <pivotField numFmtId="14" showAll="0"/>
    <pivotField numFmtId="14" showAll="0"/>
    <pivotField showAll="0"/>
    <pivotField showAll="0"/>
    <pivotField showAll="0"/>
    <pivotField showAll="0"/>
    <pivotField showAll="0"/>
    <pivotField numFmtId="9" showAll="0"/>
    <pivotField dataField="1" numFmtId="164" showAll="0"/>
  </pivotFields>
  <rowFields count="1">
    <field x="8"/>
  </rowFields>
  <rowItems count="4">
    <i>
      <x/>
    </i>
    <i>
      <x v="1"/>
    </i>
    <i>
      <x v="2"/>
    </i>
    <i>
      <x v="3"/>
    </i>
  </rowItems>
  <colItems count="1">
    <i/>
  </colItems>
  <dataFields count="1">
    <dataField name="Sum of Profit" fld="20" baseField="0" baseItem="0" numFmtId="6"/>
  </dataFields>
  <formats count="3">
    <format dxfId="4">
      <pivotArea outline="0" fieldPosition="0">
        <references count="1">
          <reference field="4294967294" count="1">
            <x v="0"/>
          </reference>
        </references>
      </pivotArea>
    </format>
    <format dxfId="3">
      <pivotArea outline="0" collapsedLevelsAreSubtotals="1" fieldPosition="0"/>
    </format>
    <format dxfId="2">
      <pivotArea dataOnly="0" labelOnly="1" outline="0" axis="axisValues" fieldPosition="0"/>
    </format>
  </format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8" count="1" selected="0">
            <x v="0"/>
          </reference>
        </references>
      </pivotArea>
    </chartFormat>
    <chartFormat chart="4" format="2">
      <pivotArea type="data" outline="0" fieldPosition="0">
        <references count="2">
          <reference field="4294967294" count="1" selected="0">
            <x v="0"/>
          </reference>
          <reference field="8" count="1" selected="0">
            <x v="3"/>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 chart="4" format="4">
      <pivotArea type="data" outline="0" fieldPosition="0">
        <references count="2">
          <reference field="4294967294" count="1" selected="0">
            <x v="0"/>
          </reference>
          <reference field="8"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8" count="1" selected="0">
            <x v="3"/>
          </reference>
        </references>
      </pivotArea>
    </chartFormat>
    <chartFormat chart="15" format="12">
      <pivotArea type="data" outline="0" fieldPosition="0">
        <references count="2">
          <reference field="4294967294" count="1" selected="0">
            <x v="0"/>
          </reference>
          <reference field="8" count="1" selected="0">
            <x v="2"/>
          </reference>
        </references>
      </pivotArea>
    </chartFormat>
    <chartFormat chart="15" format="13">
      <pivotArea type="data" outline="0" fieldPosition="0">
        <references count="2">
          <reference field="4294967294" count="1" selected="0">
            <x v="0"/>
          </reference>
          <reference field="8" count="1" selected="0">
            <x v="1"/>
          </reference>
        </references>
      </pivotArea>
    </chartFormat>
    <chartFormat chart="15" format="14">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EE004F-22D0-4E13-874D-6A0AEC9F579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98:D104" firstHeaderRow="0" firstDataRow="1" firstDataCol="1"/>
  <pivotFields count="21">
    <pivotField showAll="0"/>
    <pivotField showAll="0"/>
    <pivotField showAll="0"/>
    <pivotField dataField="1" numFmtId="164" showAll="0"/>
    <pivotField showAll="0">
      <items count="6">
        <item x="3"/>
        <item x="4"/>
        <item x="2"/>
        <item x="1"/>
        <item x="0"/>
        <item t="default"/>
      </items>
    </pivotField>
    <pivotField showAll="0"/>
    <pivotField showAll="0"/>
    <pivotField axis="axisRow"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showAll="0"/>
    <pivotField numFmtId="9" showAll="0"/>
    <pivotField dataField="1" numFmtId="164" showAll="0"/>
  </pivotFields>
  <rowFields count="1">
    <field x="7"/>
  </rowFields>
  <rowItems count="6">
    <i>
      <x/>
    </i>
    <i>
      <x v="1"/>
    </i>
    <i>
      <x v="2"/>
    </i>
    <i>
      <x v="3"/>
    </i>
    <i>
      <x v="4"/>
    </i>
    <i>
      <x v="5"/>
    </i>
  </rowItems>
  <colFields count="1">
    <field x="-2"/>
  </colFields>
  <colItems count="2">
    <i>
      <x/>
    </i>
    <i i="1">
      <x v="1"/>
    </i>
  </colItems>
  <dataFields count="2">
    <dataField name="Sum of Sales" fld="3" baseField="0" baseItem="0" numFmtId="164"/>
    <dataField name="Sum of Profit" fld="20" baseField="0" baseItem="0" numFmtId="164"/>
  </dataFields>
  <formats count="2">
    <format dxfId="6">
      <pivotArea outline="0" collapsedLevelsAreSubtotals="1" fieldPosition="0"/>
    </format>
    <format dxfId="5">
      <pivotArea dataOnly="0" labelOnly="1" outline="0" axis="axisValues" fieldPosition="0"/>
    </format>
  </formats>
  <chartFormats count="7">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1"/>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CB089F-F674-43C8-8607-7BA2D667934B}" name="PivotTable2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15:C20" firstHeaderRow="1" firstDataRow="1" firstDataCol="1"/>
  <pivotFields count="21">
    <pivotField showAll="0"/>
    <pivotField showAll="0"/>
    <pivotField showAll="0"/>
    <pivotField dataField="1" numFmtId="164" showAll="0"/>
    <pivotField axis="axisRow" showAll="0">
      <items count="6">
        <item x="3"/>
        <item x="4"/>
        <item x="2"/>
        <item x="1"/>
        <item x="0"/>
        <item t="default"/>
      </items>
    </pivotField>
    <pivotField showAll="0"/>
    <pivotField showAll="0"/>
    <pivotField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items count="11">
        <item x="3"/>
        <item x="2"/>
        <item x="8"/>
        <item x="7"/>
        <item x="9"/>
        <item x="1"/>
        <item x="5"/>
        <item x="4"/>
        <item x="6"/>
        <item x="0"/>
        <item t="default"/>
      </items>
    </pivotField>
    <pivotField showAll="0"/>
    <pivotField showAll="0"/>
    <pivotField showAll="0"/>
    <pivotField numFmtId="9" showAll="0"/>
    <pivotField numFmtId="164" showAll="0"/>
  </pivotFields>
  <rowFields count="1">
    <field x="4"/>
  </rowFields>
  <rowItems count="5">
    <i>
      <x/>
    </i>
    <i>
      <x v="1"/>
    </i>
    <i>
      <x v="2"/>
    </i>
    <i>
      <x v="3"/>
    </i>
    <i>
      <x v="4"/>
    </i>
  </rowItems>
  <colItems count="1">
    <i/>
  </colItems>
  <dataFields count="1">
    <dataField name="Sum of Sales" fld="3" baseField="0" baseItem="0" numFmtId="165"/>
  </dataFields>
  <formats count="2">
    <format dxfId="8">
      <pivotArea outline="0" collapsedLevelsAreSubtotals="1" fieldPosition="0"/>
    </format>
    <format dxfId="7">
      <pivotArea dataOnly="0" labelOnly="1" outline="0" axis="axisValues" fieldPosition="0"/>
    </format>
  </formats>
  <chartFormats count="1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4"/>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0"/>
          </reference>
        </references>
      </pivotArea>
    </chartFormat>
    <chartFormat chart="5" format="8"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4" count="1" selected="0">
            <x v="0"/>
          </reference>
        </references>
      </pivotArea>
    </chartFormat>
    <chartFormat chart="8" format="10">
      <pivotArea type="data" outline="0" fieldPosition="0">
        <references count="2">
          <reference field="4294967294" count="1" selected="0">
            <x v="0"/>
          </reference>
          <reference field="4" count="1" selected="0">
            <x v="1"/>
          </reference>
        </references>
      </pivotArea>
    </chartFormat>
    <chartFormat chart="12" format="11"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ED94CB-E4D4-485C-87D8-20FF547CD229}" name="PivotTable2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B31:D37" firstHeaderRow="0" firstDataRow="1" firstDataCol="1"/>
  <pivotFields count="21">
    <pivotField showAll="0"/>
    <pivotField showAll="0"/>
    <pivotField showAll="0"/>
    <pivotField numFmtId="164" showAll="0"/>
    <pivotField showAll="0">
      <items count="6">
        <item x="3"/>
        <item x="4"/>
        <item x="2"/>
        <item x="1"/>
        <item x="0"/>
        <item t="default"/>
      </items>
    </pivotField>
    <pivotField showAll="0"/>
    <pivotField showAll="0"/>
    <pivotField axis="axisRow"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showAll="0"/>
    <pivotField dataField="1" numFmtId="9" showAll="0"/>
    <pivotField dataField="1" numFmtId="164" showAll="0"/>
  </pivotFields>
  <rowFields count="1">
    <field x="7"/>
  </rowFields>
  <rowItems count="6">
    <i>
      <x/>
    </i>
    <i>
      <x v="1"/>
    </i>
    <i>
      <x v="2"/>
    </i>
    <i>
      <x v="3"/>
    </i>
    <i>
      <x v="4"/>
    </i>
    <i>
      <x v="5"/>
    </i>
  </rowItems>
  <colFields count="1">
    <field x="-2"/>
  </colFields>
  <colItems count="2">
    <i>
      <x/>
    </i>
    <i i="1">
      <x v="1"/>
    </i>
  </colItems>
  <dataFields count="2">
    <dataField name="Sum of Profit" fld="20" baseField="0" baseItem="0" numFmtId="164"/>
    <dataField name="Sum of Discount" fld="19" baseField="0" baseItem="0" numFmtId="2"/>
  </dataFields>
  <formats count="4">
    <format dxfId="12">
      <pivotArea outline="0" collapsedLevelsAreSubtotals="1" fieldPosition="0"/>
    </format>
    <format dxfId="11">
      <pivotArea dataOnly="0" labelOnly="1" outline="0" axis="axisValues" fieldPosition="0"/>
    </format>
    <format dxfId="10">
      <pivotArea outline="0" collapsedLevelsAreSubtotals="1" fieldPosition="0">
        <references count="1">
          <reference field="4294967294" count="1" selected="0">
            <x v="1"/>
          </reference>
        </references>
      </pivotArea>
    </format>
    <format dxfId="9">
      <pivotArea dataOnly="0" labelOnly="1" outline="0" fieldPosition="0">
        <references count="1">
          <reference field="4294967294" count="1">
            <x v="1"/>
          </reference>
        </references>
      </pivotArea>
    </format>
  </formats>
  <chartFormats count="4">
    <chartFormat chart="3" format="0"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31403C-3064-4A66-8F56-093C7353E008}"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80:C86" firstHeaderRow="1" firstDataRow="1" firstDataCol="1"/>
  <pivotFields count="21">
    <pivotField showAll="0"/>
    <pivotField showAll="0"/>
    <pivotField showAll="0"/>
    <pivotField numFmtId="164" showAll="0"/>
    <pivotField showAll="0">
      <items count="6">
        <item x="3"/>
        <item x="4"/>
        <item x="2"/>
        <item x="1"/>
        <item x="0"/>
        <item t="default"/>
      </items>
    </pivotField>
    <pivotField showAll="0"/>
    <pivotField showAll="0"/>
    <pivotField axis="axisRow"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showAll="0"/>
    <pivotField showAll="0"/>
    <pivotField showAll="0"/>
    <pivotField dataField="1" showAll="0"/>
    <pivotField numFmtId="9" showAll="0"/>
    <pivotField numFmtId="164" showAll="0"/>
  </pivotFields>
  <rowFields count="1">
    <field x="7"/>
  </rowFields>
  <rowItems count="6">
    <i>
      <x/>
    </i>
    <i>
      <x v="1"/>
    </i>
    <i>
      <x v="2"/>
    </i>
    <i>
      <x v="3"/>
    </i>
    <i>
      <x v="4"/>
    </i>
    <i>
      <x v="5"/>
    </i>
  </rowItems>
  <colItems count="1">
    <i/>
  </colItems>
  <dataFields count="1">
    <dataField name="Sum of Quantity" fld="18" showDataAs="percentOfTotal" baseField="0" baseItem="0" numFmtId="10"/>
  </dataFields>
  <formats count="3">
    <format dxfId="15">
      <pivotArea outline="0" collapsedLevelsAreSubtotals="1" fieldPosition="0"/>
    </format>
    <format dxfId="14">
      <pivotArea dataOnly="0" labelOnly="1" outline="0" axis="axisValues" fieldPosition="0"/>
    </format>
    <format dxfId="13">
      <pivotArea outline="0" fieldPosition="0">
        <references count="1">
          <reference field="4294967294" count="1">
            <x v="0"/>
          </reference>
        </references>
      </pivotArea>
    </format>
  </formats>
  <chartFormats count="14">
    <chartFormat chart="13" format="15"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16">
      <pivotArea type="data" outline="0" fieldPosition="0">
        <references count="2">
          <reference field="4294967294" count="1" selected="0">
            <x v="0"/>
          </reference>
          <reference field="7" count="1" selected="0">
            <x v="0"/>
          </reference>
        </references>
      </pivotArea>
    </chartFormat>
    <chartFormat chart="13" format="17">
      <pivotArea type="data" outline="0" fieldPosition="0">
        <references count="2">
          <reference field="4294967294" count="1" selected="0">
            <x v="0"/>
          </reference>
          <reference field="7" count="1" selected="0">
            <x v="1"/>
          </reference>
        </references>
      </pivotArea>
    </chartFormat>
    <chartFormat chart="13" format="18">
      <pivotArea type="data" outline="0" fieldPosition="0">
        <references count="2">
          <reference field="4294967294" count="1" selected="0">
            <x v="0"/>
          </reference>
          <reference field="7" count="1" selected="0">
            <x v="2"/>
          </reference>
        </references>
      </pivotArea>
    </chartFormat>
    <chartFormat chart="13" format="19">
      <pivotArea type="data" outline="0" fieldPosition="0">
        <references count="2">
          <reference field="4294967294" count="1" selected="0">
            <x v="0"/>
          </reference>
          <reference field="7" count="1" selected="0">
            <x v="3"/>
          </reference>
        </references>
      </pivotArea>
    </chartFormat>
    <chartFormat chart="13" format="20">
      <pivotArea type="data" outline="0" fieldPosition="0">
        <references count="2">
          <reference field="4294967294" count="1" selected="0">
            <x v="0"/>
          </reference>
          <reference field="7" count="1" selected="0">
            <x v="4"/>
          </reference>
        </references>
      </pivotArea>
    </chartFormat>
    <chartFormat chart="13" format="21">
      <pivotArea type="data" outline="0" fieldPosition="0">
        <references count="2">
          <reference field="4294967294" count="1" selected="0">
            <x v="0"/>
          </reference>
          <reference field="7" count="1" selected="0">
            <x v="5"/>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0" format="4">
      <pivotArea type="data" outline="0" fieldPosition="0">
        <references count="2">
          <reference field="4294967294" count="1" selected="0">
            <x v="0"/>
          </reference>
          <reference field="7" count="1" selected="0">
            <x v="2"/>
          </reference>
        </references>
      </pivotArea>
    </chartFormat>
    <chartFormat chart="10" format="5">
      <pivotArea type="data" outline="0" fieldPosition="0">
        <references count="2">
          <reference field="4294967294" count="1" selected="0">
            <x v="0"/>
          </reference>
          <reference field="7" count="1" selected="0">
            <x v="3"/>
          </reference>
        </references>
      </pivotArea>
    </chartFormat>
    <chartFormat chart="10" format="6">
      <pivotArea type="data" outline="0" fieldPosition="0">
        <references count="2">
          <reference field="4294967294" count="1" selected="0">
            <x v="0"/>
          </reference>
          <reference field="7" count="1" selected="0">
            <x v="4"/>
          </reference>
        </references>
      </pivotArea>
    </chartFormat>
    <chartFormat chart="10" format="7">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1A2BBB-142C-4A6E-87C2-C83D0CCAB585}" name="PivotTable2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B61:C71" firstHeaderRow="1" firstDataRow="1" firstDataCol="1"/>
  <pivotFields count="21">
    <pivotField showAll="0"/>
    <pivotField showAll="0"/>
    <pivotField showAll="0"/>
    <pivotField dataField="1" numFmtId="164" showAll="0"/>
    <pivotField showAll="0">
      <items count="6">
        <item x="3"/>
        <item x="4"/>
        <item x="2"/>
        <item x="1"/>
        <item x="0"/>
        <item t="default"/>
      </items>
    </pivotField>
    <pivotField showAll="0"/>
    <pivotField showAll="0"/>
    <pivotField showAll="0">
      <items count="7">
        <item x="2"/>
        <item x="1"/>
        <item x="0"/>
        <item x="3"/>
        <item x="4"/>
        <item x="5"/>
        <item t="default"/>
      </items>
    </pivotField>
    <pivotField showAll="0"/>
    <pivotField showAll="0"/>
    <pivotField numFmtId="14" showAll="0"/>
    <pivotField showAll="0"/>
    <pivotField numFmtId="14" showAll="0"/>
    <pivotField numFmtId="14" showAll="0"/>
    <pivotField showAll="0"/>
    <pivotField axis="axisRow" showAll="0" sortType="ascending">
      <items count="11">
        <item x="0"/>
        <item x="6"/>
        <item x="4"/>
        <item x="5"/>
        <item x="1"/>
        <item x="9"/>
        <item x="7"/>
        <item x="8"/>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numFmtId="164" showAll="0"/>
  </pivotFields>
  <rowFields count="1">
    <field x="15"/>
  </rowFields>
  <rowItems count="10">
    <i>
      <x v="2"/>
    </i>
    <i>
      <x v="6"/>
    </i>
    <i>
      <x v="9"/>
    </i>
    <i>
      <x v="5"/>
    </i>
    <i>
      <x v="3"/>
    </i>
    <i>
      <x v="1"/>
    </i>
    <i>
      <x v="4"/>
    </i>
    <i>
      <x v="8"/>
    </i>
    <i>
      <x/>
    </i>
    <i>
      <x v="7"/>
    </i>
  </rowItems>
  <colItems count="1">
    <i/>
  </colItems>
  <dataFields count="1">
    <dataField name="Sum of Sales" fld="3" baseField="0" baseItem="0" numFmtId="164"/>
  </dataFields>
  <formats count="2">
    <format dxfId="17">
      <pivotArea outline="0" collapsedLevelsAreSubtotals="1" fieldPosition="0"/>
    </format>
    <format dxfId="16">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of_Goods" xr10:uid="{D12FE006-A264-40C0-8AFF-6C496A691D96}" sourceName="Category of Goods">
  <pivotTables>
    <pivotTable tabId="2" name="PivotTable22"/>
    <pivotTable tabId="2" name="PivotTable18"/>
    <pivotTable tabId="2" name="PivotTable19"/>
    <pivotTable tabId="2" name="PivotTable20"/>
    <pivotTable tabId="2" name="PivotTable21"/>
    <pivotTable tabId="2" name="PivotTable24"/>
    <pivotTable tabId="2" name="PivotTable26"/>
    <pivotTable tabId="2" name="PivotTable27"/>
    <pivotTable tabId="2" name="PivotTable1"/>
    <pivotTable tabId="2" name="PivotTable2"/>
  </pivotTables>
  <data>
    <tabular pivotCacheId="2117169392">
      <items count="6">
        <i x="2" s="1"/>
        <i x="1" s="1"/>
        <i x="0"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BADD1F8-FB1E-4185-9206-E4F18A5F0E8D}" sourceName="Year">
  <pivotTables>
    <pivotTable tabId="2" name="PivotTable24"/>
    <pivotTable tabId="2" name="PivotTable18"/>
    <pivotTable tabId="2" name="PivotTable19"/>
    <pivotTable tabId="2" name="PivotTable20"/>
    <pivotTable tabId="2" name="PivotTable21"/>
    <pivotTable tabId="2" name="PivotTable26"/>
    <pivotTable tabId="2" name="PivotTable27"/>
    <pivotTable tabId="2" name="PivotTable1"/>
    <pivotTable tabId="2" name="PivotTable2"/>
  </pivotTables>
  <data>
    <tabular pivotCacheId="2117169392">
      <items count="5">
        <i x="3" s="1"/>
        <i x="4"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70978D5-05D4-4B15-BBC9-46D7B7F9838A}" sourceName="State">
  <pivotTables>
    <pivotTable tabId="2" name="PivotTable22"/>
  </pivotTables>
  <data>
    <tabular pivotCacheId="2117169392">
      <items count="10">
        <i x="3" s="1"/>
        <i x="2" s="1"/>
        <i x="8" s="1"/>
        <i x="7" s="1"/>
        <i x="9" s="1"/>
        <i x="1" s="1"/>
        <i x="5" s="1"/>
        <i x="4"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of Goods" xr10:uid="{8EA10827-6D6B-4559-9E73-F1E272F265A6}" cache="Slicer_Category_of_Goods" caption="Category of Goods" rowHeight="247650"/>
  <slicer name="Year" xr10:uid="{8BC89059-F9DB-4D66-A95E-45D37719B968}" cache="Slicer_Year" caption="Year" rowHeight="247650"/>
  <slicer name="State" xr10:uid="{8D03010B-880D-43B9-981D-CD50091CAB66}" cache="Slicer_State" caption="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of Goods 1" xr10:uid="{EC4D3EFB-3214-4F54-89C8-E061A9EFD557}" cache="Slicer_Category_of_Goods" caption="Category " style="SlicerStyleDark2" rowHeight="247650"/>
  <slicer name="Year 1" xr10:uid="{BE434D35-B131-4B6A-B828-E77399C54F8A}" cache="Slicer_Year" caption="Year"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5AF67-A44E-4A3C-B8C3-61F75915008A}">
  <dimension ref="A1:U101"/>
  <sheetViews>
    <sheetView tabSelected="1" topLeftCell="A68" workbookViewId="0">
      <selection activeCell="K1" sqref="A1:K101"/>
    </sheetView>
  </sheetViews>
  <sheetFormatPr defaultRowHeight="14.4" x14ac:dyDescent="0.3"/>
  <cols>
    <col min="1" max="1" width="11.21875" bestFit="1" customWidth="1"/>
    <col min="2" max="2" width="14.5546875" bestFit="1" customWidth="1"/>
    <col min="3" max="4" width="10.44140625" bestFit="1" customWidth="1"/>
    <col min="5" max="5" width="5" bestFit="1" customWidth="1"/>
    <col min="6" max="6" width="10.44140625" bestFit="1" customWidth="1"/>
    <col min="7" max="7" width="8.5546875" bestFit="1" customWidth="1"/>
    <col min="8" max="8" width="16.44140625" bestFit="1" customWidth="1"/>
    <col min="9" max="9" width="6.5546875" bestFit="1" customWidth="1"/>
    <col min="10" max="10" width="9.33203125" bestFit="1" customWidth="1"/>
    <col min="11" max="11" width="10.33203125" bestFit="1" customWidth="1"/>
    <col min="12" max="12" width="7.88671875" bestFit="1" customWidth="1"/>
    <col min="13" max="14" width="10.33203125" bestFit="1" customWidth="1"/>
    <col min="15" max="15" width="13.109375" bestFit="1" customWidth="1"/>
    <col min="16" max="16" width="14.33203125" bestFit="1" customWidth="1"/>
    <col min="17" max="17" width="9.6640625" bestFit="1" customWidth="1"/>
    <col min="18" max="18" width="16.109375" bestFit="1" customWidth="1"/>
    <col min="19" max="19" width="8.109375" bestFit="1" customWidth="1"/>
    <col min="20" max="20" width="8.33203125" bestFit="1" customWidth="1"/>
    <col min="21" max="21" width="9.44140625" bestFit="1" customWidth="1"/>
  </cols>
  <sheetData>
    <row r="1" spans="1:21" x14ac:dyDescent="0.3">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19</v>
      </c>
      <c r="U1" s="2" t="s">
        <v>20</v>
      </c>
    </row>
    <row r="2" spans="1:21" x14ac:dyDescent="0.3">
      <c r="A2" t="s">
        <v>21</v>
      </c>
      <c r="B2" t="s">
        <v>22</v>
      </c>
      <c r="C2" t="s">
        <v>23</v>
      </c>
      <c r="D2" s="4">
        <v>3344.69</v>
      </c>
      <c r="E2">
        <v>2023</v>
      </c>
      <c r="F2" t="s">
        <v>24</v>
      </c>
      <c r="G2" t="s">
        <v>25</v>
      </c>
      <c r="H2" t="s">
        <v>26</v>
      </c>
      <c r="I2" t="s">
        <v>27</v>
      </c>
      <c r="J2" t="s">
        <v>28</v>
      </c>
      <c r="K2" s="5">
        <v>44996</v>
      </c>
      <c r="L2" t="s">
        <v>29</v>
      </c>
      <c r="M2" s="5">
        <v>43934</v>
      </c>
      <c r="N2" s="5">
        <v>43939</v>
      </c>
      <c r="O2" t="s">
        <v>30</v>
      </c>
      <c r="P2" t="s">
        <v>31</v>
      </c>
      <c r="Q2" t="s">
        <v>32</v>
      </c>
      <c r="R2" t="s">
        <v>33</v>
      </c>
      <c r="S2">
        <v>3</v>
      </c>
      <c r="T2" s="6">
        <v>0.09</v>
      </c>
      <c r="U2" s="4">
        <v>448.24</v>
      </c>
    </row>
    <row r="3" spans="1:21" x14ac:dyDescent="0.3">
      <c r="A3" t="s">
        <v>34</v>
      </c>
      <c r="B3" t="s">
        <v>35</v>
      </c>
      <c r="C3" t="s">
        <v>36</v>
      </c>
      <c r="D3" s="4">
        <v>37094.410000000003</v>
      </c>
      <c r="E3">
        <v>2022</v>
      </c>
      <c r="F3" t="s">
        <v>37</v>
      </c>
      <c r="G3" t="s">
        <v>38</v>
      </c>
      <c r="H3" t="s">
        <v>26</v>
      </c>
      <c r="I3" t="s">
        <v>27</v>
      </c>
      <c r="J3" t="s">
        <v>39</v>
      </c>
      <c r="K3" s="5">
        <v>45178</v>
      </c>
      <c r="L3" t="s">
        <v>40</v>
      </c>
      <c r="M3" s="5">
        <v>44204</v>
      </c>
      <c r="N3" s="5">
        <v>44207</v>
      </c>
      <c r="O3" t="s">
        <v>41</v>
      </c>
      <c r="P3" t="s">
        <v>42</v>
      </c>
      <c r="Q3" t="s">
        <v>43</v>
      </c>
      <c r="R3" t="s">
        <v>44</v>
      </c>
      <c r="S3">
        <v>5</v>
      </c>
      <c r="T3" s="6">
        <v>0.39</v>
      </c>
      <c r="U3" s="4">
        <v>3134.34</v>
      </c>
    </row>
    <row r="4" spans="1:21" x14ac:dyDescent="0.3">
      <c r="A4" t="s">
        <v>45</v>
      </c>
      <c r="B4" t="s">
        <v>46</v>
      </c>
      <c r="C4" t="s">
        <v>47</v>
      </c>
      <c r="D4" s="4">
        <v>35501.08</v>
      </c>
      <c r="E4">
        <v>2023</v>
      </c>
      <c r="F4" t="s">
        <v>24</v>
      </c>
      <c r="G4" t="s">
        <v>48</v>
      </c>
      <c r="H4" t="s">
        <v>49</v>
      </c>
      <c r="I4" t="s">
        <v>50</v>
      </c>
      <c r="J4" t="s">
        <v>28</v>
      </c>
      <c r="K4" s="5">
        <v>44788</v>
      </c>
      <c r="L4" t="s">
        <v>51</v>
      </c>
      <c r="M4" s="5">
        <v>44054</v>
      </c>
      <c r="N4" s="5">
        <v>44059</v>
      </c>
      <c r="O4" t="s">
        <v>52</v>
      </c>
      <c r="P4" t="s">
        <v>53</v>
      </c>
      <c r="Q4" t="s">
        <v>54</v>
      </c>
      <c r="R4" t="s">
        <v>55</v>
      </c>
      <c r="S4">
        <v>6</v>
      </c>
      <c r="T4" s="6">
        <v>7.0000000000000007E-2</v>
      </c>
      <c r="U4" s="4">
        <v>8324.2099999999991</v>
      </c>
    </row>
    <row r="5" spans="1:21" x14ac:dyDescent="0.3">
      <c r="A5" t="s">
        <v>56</v>
      </c>
      <c r="B5" t="s">
        <v>57</v>
      </c>
      <c r="C5" t="s">
        <v>58</v>
      </c>
      <c r="D5" s="4">
        <v>8969.33</v>
      </c>
      <c r="E5">
        <v>2021</v>
      </c>
      <c r="F5" t="s">
        <v>37</v>
      </c>
      <c r="G5" t="s">
        <v>48</v>
      </c>
      <c r="H5" t="s">
        <v>59</v>
      </c>
      <c r="I5" t="s">
        <v>27</v>
      </c>
      <c r="J5" t="s">
        <v>39</v>
      </c>
      <c r="K5" s="5">
        <v>44219</v>
      </c>
      <c r="L5" t="s">
        <v>60</v>
      </c>
      <c r="M5" s="5">
        <v>44479</v>
      </c>
      <c r="N5" s="5">
        <v>44485</v>
      </c>
      <c r="O5" t="s">
        <v>61</v>
      </c>
      <c r="P5" t="s">
        <v>31</v>
      </c>
      <c r="Q5" t="s">
        <v>62</v>
      </c>
      <c r="R5" t="s">
        <v>63</v>
      </c>
      <c r="S5">
        <v>4</v>
      </c>
      <c r="T5" s="6">
        <v>0.18</v>
      </c>
      <c r="U5" s="4">
        <v>1962.66</v>
      </c>
    </row>
    <row r="6" spans="1:21" x14ac:dyDescent="0.3">
      <c r="A6" t="s">
        <v>64</v>
      </c>
      <c r="B6" t="s">
        <v>65</v>
      </c>
      <c r="C6" t="s">
        <v>66</v>
      </c>
      <c r="D6" s="4">
        <v>35530.44</v>
      </c>
      <c r="E6">
        <v>2021</v>
      </c>
      <c r="F6" t="s">
        <v>67</v>
      </c>
      <c r="G6" t="s">
        <v>48</v>
      </c>
      <c r="H6" t="s">
        <v>68</v>
      </c>
      <c r="I6" t="s">
        <v>69</v>
      </c>
      <c r="J6" t="s">
        <v>28</v>
      </c>
      <c r="K6" s="5">
        <v>44189</v>
      </c>
      <c r="L6" t="s">
        <v>70</v>
      </c>
      <c r="M6" s="5">
        <v>43487</v>
      </c>
      <c r="N6" s="5">
        <v>43490</v>
      </c>
      <c r="O6" t="s">
        <v>41</v>
      </c>
      <c r="P6" t="s">
        <v>71</v>
      </c>
      <c r="Q6" t="s">
        <v>72</v>
      </c>
      <c r="R6" t="s">
        <v>73</v>
      </c>
      <c r="S6">
        <v>4</v>
      </c>
      <c r="T6" s="6">
        <v>0.27</v>
      </c>
      <c r="U6" s="4">
        <v>2843.93</v>
      </c>
    </row>
    <row r="7" spans="1:21" x14ac:dyDescent="0.3">
      <c r="A7" t="s">
        <v>74</v>
      </c>
      <c r="B7" t="s">
        <v>75</v>
      </c>
      <c r="C7" t="s">
        <v>76</v>
      </c>
      <c r="D7" s="4">
        <v>420.76</v>
      </c>
      <c r="E7">
        <v>2019</v>
      </c>
      <c r="F7" t="s">
        <v>24</v>
      </c>
      <c r="G7" t="s">
        <v>38</v>
      </c>
      <c r="H7" t="s">
        <v>59</v>
      </c>
      <c r="I7" t="s">
        <v>50</v>
      </c>
      <c r="J7" t="s">
        <v>28</v>
      </c>
      <c r="K7" s="5">
        <v>43537</v>
      </c>
      <c r="L7" t="s">
        <v>77</v>
      </c>
      <c r="M7" s="5">
        <v>43817</v>
      </c>
      <c r="N7" s="5">
        <v>43821</v>
      </c>
      <c r="O7" t="s">
        <v>52</v>
      </c>
      <c r="P7" t="s">
        <v>78</v>
      </c>
      <c r="Q7" t="s">
        <v>79</v>
      </c>
      <c r="R7" t="s">
        <v>63</v>
      </c>
      <c r="S7">
        <v>4</v>
      </c>
      <c r="T7" s="6">
        <v>0.5</v>
      </c>
      <c r="U7" s="4">
        <v>57.36</v>
      </c>
    </row>
    <row r="8" spans="1:21" x14ac:dyDescent="0.3">
      <c r="A8" t="s">
        <v>80</v>
      </c>
      <c r="B8" t="s">
        <v>81</v>
      </c>
      <c r="C8" t="s">
        <v>82</v>
      </c>
      <c r="D8" s="4">
        <v>31588.07</v>
      </c>
      <c r="E8">
        <v>2022</v>
      </c>
      <c r="F8" t="s">
        <v>37</v>
      </c>
      <c r="G8" t="s">
        <v>38</v>
      </c>
      <c r="H8" t="s">
        <v>59</v>
      </c>
      <c r="I8" t="s">
        <v>83</v>
      </c>
      <c r="J8" t="s">
        <v>28</v>
      </c>
      <c r="K8" s="5">
        <v>44888</v>
      </c>
      <c r="L8" t="s">
        <v>84</v>
      </c>
      <c r="M8" s="5">
        <v>44186</v>
      </c>
      <c r="N8" s="5">
        <v>44188</v>
      </c>
      <c r="O8" t="s">
        <v>41</v>
      </c>
      <c r="P8" t="s">
        <v>53</v>
      </c>
      <c r="Q8" t="s">
        <v>85</v>
      </c>
      <c r="R8" t="s">
        <v>86</v>
      </c>
      <c r="S8">
        <v>6</v>
      </c>
      <c r="T8" s="6">
        <v>0.38</v>
      </c>
      <c r="U8" s="4">
        <v>2834.07</v>
      </c>
    </row>
    <row r="9" spans="1:21" x14ac:dyDescent="0.3">
      <c r="A9" t="s">
        <v>87</v>
      </c>
      <c r="B9" t="s">
        <v>88</v>
      </c>
      <c r="C9" t="s">
        <v>89</v>
      </c>
      <c r="D9" s="4">
        <v>4419.87</v>
      </c>
      <c r="E9">
        <v>2021</v>
      </c>
      <c r="F9" t="s">
        <v>67</v>
      </c>
      <c r="G9" t="s">
        <v>38</v>
      </c>
      <c r="H9" t="s">
        <v>49</v>
      </c>
      <c r="I9" t="s">
        <v>69</v>
      </c>
      <c r="J9" t="s">
        <v>28</v>
      </c>
      <c r="K9" s="5">
        <v>43535</v>
      </c>
      <c r="L9" t="s">
        <v>90</v>
      </c>
      <c r="M9" s="5">
        <v>44512</v>
      </c>
      <c r="N9" s="5">
        <v>44514</v>
      </c>
      <c r="O9" t="s">
        <v>41</v>
      </c>
      <c r="P9" t="s">
        <v>91</v>
      </c>
      <c r="Q9" t="s">
        <v>92</v>
      </c>
      <c r="R9" t="s">
        <v>93</v>
      </c>
      <c r="S9">
        <v>10</v>
      </c>
      <c r="T9" s="6">
        <v>0.21</v>
      </c>
      <c r="U9" s="4">
        <v>691.42</v>
      </c>
    </row>
    <row r="10" spans="1:21" x14ac:dyDescent="0.3">
      <c r="A10" t="s">
        <v>94</v>
      </c>
      <c r="B10" t="s">
        <v>95</v>
      </c>
      <c r="C10" t="s">
        <v>96</v>
      </c>
      <c r="D10" s="4">
        <v>41494.089999999997</v>
      </c>
      <c r="E10">
        <v>2023</v>
      </c>
      <c r="F10" t="s">
        <v>24</v>
      </c>
      <c r="G10" t="s">
        <v>38</v>
      </c>
      <c r="H10" t="s">
        <v>59</v>
      </c>
      <c r="I10" t="s">
        <v>50</v>
      </c>
      <c r="J10" t="s">
        <v>39</v>
      </c>
      <c r="K10" s="5">
        <v>43996</v>
      </c>
      <c r="L10" t="s">
        <v>97</v>
      </c>
      <c r="M10" s="5">
        <v>44264</v>
      </c>
      <c r="N10" s="5">
        <v>44265</v>
      </c>
      <c r="O10" t="s">
        <v>61</v>
      </c>
      <c r="P10" t="s">
        <v>31</v>
      </c>
      <c r="Q10" t="s">
        <v>98</v>
      </c>
      <c r="R10" t="s">
        <v>63</v>
      </c>
      <c r="S10">
        <v>2</v>
      </c>
      <c r="T10" s="6">
        <v>0.09</v>
      </c>
      <c r="U10" s="4">
        <v>8083.35</v>
      </c>
    </row>
    <row r="11" spans="1:21" x14ac:dyDescent="0.3">
      <c r="A11" t="s">
        <v>99</v>
      </c>
      <c r="B11" t="s">
        <v>100</v>
      </c>
      <c r="C11" t="s">
        <v>101</v>
      </c>
      <c r="D11" s="4">
        <v>39717.64</v>
      </c>
      <c r="E11">
        <v>2022</v>
      </c>
      <c r="F11" t="s">
        <v>37</v>
      </c>
      <c r="G11" t="s">
        <v>25</v>
      </c>
      <c r="H11" t="s">
        <v>102</v>
      </c>
      <c r="I11" t="s">
        <v>50</v>
      </c>
      <c r="J11" t="s">
        <v>39</v>
      </c>
      <c r="K11" s="5">
        <v>44834</v>
      </c>
      <c r="L11" t="s">
        <v>103</v>
      </c>
      <c r="M11" s="5">
        <v>44635</v>
      </c>
      <c r="N11" s="5">
        <v>44640</v>
      </c>
      <c r="O11" t="s">
        <v>30</v>
      </c>
      <c r="P11" t="s">
        <v>53</v>
      </c>
      <c r="Q11" t="s">
        <v>104</v>
      </c>
      <c r="R11" t="s">
        <v>105</v>
      </c>
      <c r="S11">
        <v>3</v>
      </c>
      <c r="T11" s="6">
        <v>0.27</v>
      </c>
      <c r="U11" s="4">
        <v>4849.97</v>
      </c>
    </row>
    <row r="12" spans="1:21" x14ac:dyDescent="0.3">
      <c r="A12" t="s">
        <v>106</v>
      </c>
      <c r="B12" t="s">
        <v>107</v>
      </c>
      <c r="C12" t="s">
        <v>108</v>
      </c>
      <c r="D12" s="4">
        <v>42842.38</v>
      </c>
      <c r="E12">
        <v>2019</v>
      </c>
      <c r="F12" t="s">
        <v>37</v>
      </c>
      <c r="G12" t="s">
        <v>48</v>
      </c>
      <c r="H12" t="s">
        <v>26</v>
      </c>
      <c r="I12" t="s">
        <v>69</v>
      </c>
      <c r="J12" t="s">
        <v>39</v>
      </c>
      <c r="K12" s="5">
        <v>44494</v>
      </c>
      <c r="L12" t="s">
        <v>109</v>
      </c>
      <c r="M12" s="5">
        <v>44276</v>
      </c>
      <c r="N12" s="5">
        <v>44283</v>
      </c>
      <c r="O12" t="s">
        <v>52</v>
      </c>
      <c r="P12" t="s">
        <v>110</v>
      </c>
      <c r="Q12" t="s">
        <v>111</v>
      </c>
      <c r="R12" t="s">
        <v>44</v>
      </c>
      <c r="S12">
        <v>2</v>
      </c>
      <c r="T12" s="6">
        <v>0.15</v>
      </c>
      <c r="U12" s="4">
        <v>6385.44</v>
      </c>
    </row>
    <row r="13" spans="1:21" x14ac:dyDescent="0.3">
      <c r="A13" t="s">
        <v>112</v>
      </c>
      <c r="B13" t="s">
        <v>113</v>
      </c>
      <c r="C13" t="s">
        <v>114</v>
      </c>
      <c r="D13" s="4">
        <v>1036.8</v>
      </c>
      <c r="E13">
        <v>2022</v>
      </c>
      <c r="F13" t="s">
        <v>67</v>
      </c>
      <c r="G13" t="s">
        <v>48</v>
      </c>
      <c r="H13" t="s">
        <v>68</v>
      </c>
      <c r="I13" t="s">
        <v>83</v>
      </c>
      <c r="J13" t="s">
        <v>28</v>
      </c>
      <c r="K13" s="5">
        <v>45085</v>
      </c>
      <c r="L13" t="s">
        <v>115</v>
      </c>
      <c r="M13" s="5">
        <v>44396</v>
      </c>
      <c r="N13" s="5">
        <v>44398</v>
      </c>
      <c r="O13" t="s">
        <v>41</v>
      </c>
      <c r="P13" t="s">
        <v>116</v>
      </c>
      <c r="Q13" t="s">
        <v>117</v>
      </c>
      <c r="R13" t="s">
        <v>118</v>
      </c>
      <c r="S13">
        <v>10</v>
      </c>
      <c r="T13" s="6">
        <v>0.32</v>
      </c>
      <c r="U13" s="4">
        <v>157.6</v>
      </c>
    </row>
    <row r="14" spans="1:21" x14ac:dyDescent="0.3">
      <c r="A14" t="s">
        <v>119</v>
      </c>
      <c r="B14" t="s">
        <v>120</v>
      </c>
      <c r="C14" t="s">
        <v>121</v>
      </c>
      <c r="D14" s="4">
        <v>39274.36</v>
      </c>
      <c r="E14">
        <v>2023</v>
      </c>
      <c r="F14" t="s">
        <v>67</v>
      </c>
      <c r="G14" t="s">
        <v>48</v>
      </c>
      <c r="H14" t="s">
        <v>102</v>
      </c>
      <c r="I14" t="s">
        <v>69</v>
      </c>
      <c r="J14" t="s">
        <v>39</v>
      </c>
      <c r="K14" s="5">
        <v>44470</v>
      </c>
      <c r="L14" t="s">
        <v>122</v>
      </c>
      <c r="M14" s="5">
        <v>44772</v>
      </c>
      <c r="N14" s="5">
        <v>44776</v>
      </c>
      <c r="O14" t="s">
        <v>41</v>
      </c>
      <c r="P14" t="s">
        <v>42</v>
      </c>
      <c r="Q14" t="s">
        <v>123</v>
      </c>
      <c r="R14" t="s">
        <v>124</v>
      </c>
      <c r="S14">
        <v>7</v>
      </c>
      <c r="T14" s="6">
        <v>0.3</v>
      </c>
      <c r="U14" s="4">
        <v>6536.93</v>
      </c>
    </row>
    <row r="15" spans="1:21" x14ac:dyDescent="0.3">
      <c r="A15" t="s">
        <v>125</v>
      </c>
      <c r="B15" t="s">
        <v>126</v>
      </c>
      <c r="C15" t="s">
        <v>127</v>
      </c>
      <c r="D15" s="4">
        <v>31690.81</v>
      </c>
      <c r="E15">
        <v>2023</v>
      </c>
      <c r="F15" t="s">
        <v>67</v>
      </c>
      <c r="G15" t="s">
        <v>38</v>
      </c>
      <c r="H15" t="s">
        <v>59</v>
      </c>
      <c r="I15" t="s">
        <v>69</v>
      </c>
      <c r="J15" t="s">
        <v>39</v>
      </c>
      <c r="K15" s="5">
        <v>44936</v>
      </c>
      <c r="L15" t="s">
        <v>128</v>
      </c>
      <c r="M15" s="5">
        <v>43505</v>
      </c>
      <c r="N15" s="5">
        <v>43512</v>
      </c>
      <c r="O15" t="s">
        <v>41</v>
      </c>
      <c r="P15" t="s">
        <v>129</v>
      </c>
      <c r="Q15" t="s">
        <v>130</v>
      </c>
      <c r="R15" t="s">
        <v>63</v>
      </c>
      <c r="S15">
        <v>5</v>
      </c>
      <c r="T15" s="6">
        <v>0.1</v>
      </c>
      <c r="U15" s="4">
        <v>3772.86</v>
      </c>
    </row>
    <row r="16" spans="1:21" x14ac:dyDescent="0.3">
      <c r="A16" t="s">
        <v>131</v>
      </c>
      <c r="B16" t="s">
        <v>132</v>
      </c>
      <c r="C16" t="s">
        <v>133</v>
      </c>
      <c r="D16" s="4">
        <v>40712.36</v>
      </c>
      <c r="E16">
        <v>2022</v>
      </c>
      <c r="F16" t="s">
        <v>24</v>
      </c>
      <c r="G16" t="s">
        <v>48</v>
      </c>
      <c r="H16" t="s">
        <v>59</v>
      </c>
      <c r="I16" t="s">
        <v>69</v>
      </c>
      <c r="J16" t="s">
        <v>28</v>
      </c>
      <c r="K16" s="5">
        <v>43591</v>
      </c>
      <c r="L16" t="s">
        <v>134</v>
      </c>
      <c r="M16" s="5">
        <v>45055</v>
      </c>
      <c r="N16" s="5">
        <v>45058</v>
      </c>
      <c r="O16" t="s">
        <v>30</v>
      </c>
      <c r="P16" t="s">
        <v>91</v>
      </c>
      <c r="Q16" t="s">
        <v>135</v>
      </c>
      <c r="R16" t="s">
        <v>63</v>
      </c>
      <c r="S16">
        <v>9</v>
      </c>
      <c r="T16" s="6">
        <v>0.26</v>
      </c>
      <c r="U16" s="4">
        <v>6108.43</v>
      </c>
    </row>
    <row r="17" spans="1:21" x14ac:dyDescent="0.3">
      <c r="A17" t="s">
        <v>136</v>
      </c>
      <c r="B17" t="s">
        <v>137</v>
      </c>
      <c r="C17" t="s">
        <v>138</v>
      </c>
      <c r="D17" s="4">
        <v>34269.699999999997</v>
      </c>
      <c r="E17">
        <v>2019</v>
      </c>
      <c r="F17" t="s">
        <v>67</v>
      </c>
      <c r="G17" t="s">
        <v>48</v>
      </c>
      <c r="H17" t="s">
        <v>26</v>
      </c>
      <c r="I17" t="s">
        <v>83</v>
      </c>
      <c r="J17" t="s">
        <v>39</v>
      </c>
      <c r="K17" s="5">
        <v>44342</v>
      </c>
      <c r="L17" t="s">
        <v>139</v>
      </c>
      <c r="M17" s="5">
        <v>44876</v>
      </c>
      <c r="N17" s="5">
        <v>44882</v>
      </c>
      <c r="O17" t="s">
        <v>52</v>
      </c>
      <c r="P17" t="s">
        <v>31</v>
      </c>
      <c r="Q17" t="s">
        <v>140</v>
      </c>
      <c r="R17" t="s">
        <v>141</v>
      </c>
      <c r="S17">
        <v>1</v>
      </c>
      <c r="T17" s="6">
        <v>0.35</v>
      </c>
      <c r="U17" s="4">
        <v>4144.5</v>
      </c>
    </row>
    <row r="18" spans="1:21" x14ac:dyDescent="0.3">
      <c r="A18" t="s">
        <v>142</v>
      </c>
      <c r="B18" t="s">
        <v>143</v>
      </c>
      <c r="C18" t="s">
        <v>144</v>
      </c>
      <c r="D18" s="4">
        <v>41271.24</v>
      </c>
      <c r="E18">
        <v>2020</v>
      </c>
      <c r="F18" t="s">
        <v>24</v>
      </c>
      <c r="G18" t="s">
        <v>25</v>
      </c>
      <c r="H18" t="s">
        <v>49</v>
      </c>
      <c r="I18" t="s">
        <v>50</v>
      </c>
      <c r="J18" t="s">
        <v>28</v>
      </c>
      <c r="K18" s="5">
        <v>44457</v>
      </c>
      <c r="L18" t="s">
        <v>145</v>
      </c>
      <c r="M18" s="5">
        <v>44985</v>
      </c>
      <c r="N18" s="5">
        <v>44990</v>
      </c>
      <c r="O18" t="s">
        <v>41</v>
      </c>
      <c r="P18" t="s">
        <v>146</v>
      </c>
      <c r="Q18" t="s">
        <v>147</v>
      </c>
      <c r="R18" t="s">
        <v>93</v>
      </c>
      <c r="S18">
        <v>8</v>
      </c>
      <c r="T18" s="6">
        <v>0.4</v>
      </c>
      <c r="U18" s="4">
        <v>5106.34</v>
      </c>
    </row>
    <row r="19" spans="1:21" x14ac:dyDescent="0.3">
      <c r="A19" t="s">
        <v>148</v>
      </c>
      <c r="B19" t="s">
        <v>149</v>
      </c>
      <c r="C19" t="s">
        <v>150</v>
      </c>
      <c r="D19" s="4">
        <v>3896.21</v>
      </c>
      <c r="E19">
        <v>2020</v>
      </c>
      <c r="F19" t="s">
        <v>67</v>
      </c>
      <c r="G19" t="s">
        <v>25</v>
      </c>
      <c r="H19" t="s">
        <v>151</v>
      </c>
      <c r="I19" t="s">
        <v>83</v>
      </c>
      <c r="J19" t="s">
        <v>39</v>
      </c>
      <c r="K19" s="5">
        <v>45175</v>
      </c>
      <c r="L19" t="s">
        <v>152</v>
      </c>
      <c r="M19" s="5">
        <v>44623</v>
      </c>
      <c r="N19" s="5">
        <v>44626</v>
      </c>
      <c r="O19" t="s">
        <v>52</v>
      </c>
      <c r="P19" t="s">
        <v>110</v>
      </c>
      <c r="Q19" t="s">
        <v>153</v>
      </c>
      <c r="R19" t="s">
        <v>154</v>
      </c>
      <c r="S19">
        <v>6</v>
      </c>
      <c r="T19" s="6">
        <v>0.23</v>
      </c>
      <c r="U19" s="4">
        <v>868.88</v>
      </c>
    </row>
    <row r="20" spans="1:21" x14ac:dyDescent="0.3">
      <c r="A20" t="s">
        <v>155</v>
      </c>
      <c r="B20" t="s">
        <v>156</v>
      </c>
      <c r="C20" t="s">
        <v>157</v>
      </c>
      <c r="D20" s="4">
        <v>15902.47</v>
      </c>
      <c r="E20">
        <v>2023</v>
      </c>
      <c r="F20" t="s">
        <v>67</v>
      </c>
      <c r="G20" t="s">
        <v>25</v>
      </c>
      <c r="H20" t="s">
        <v>151</v>
      </c>
      <c r="I20" t="s">
        <v>83</v>
      </c>
      <c r="J20" t="s">
        <v>28</v>
      </c>
      <c r="K20" s="5">
        <v>43701</v>
      </c>
      <c r="L20" t="s">
        <v>158</v>
      </c>
      <c r="M20" s="5">
        <v>43831</v>
      </c>
      <c r="N20" s="5">
        <v>43835</v>
      </c>
      <c r="O20" t="s">
        <v>41</v>
      </c>
      <c r="P20" t="s">
        <v>110</v>
      </c>
      <c r="Q20" t="s">
        <v>159</v>
      </c>
      <c r="R20" t="s">
        <v>160</v>
      </c>
      <c r="S20">
        <v>2</v>
      </c>
      <c r="T20" s="6">
        <v>0.24</v>
      </c>
      <c r="U20" s="4">
        <v>2192.64</v>
      </c>
    </row>
    <row r="21" spans="1:21" x14ac:dyDescent="0.3">
      <c r="A21" t="s">
        <v>161</v>
      </c>
      <c r="B21" t="s">
        <v>162</v>
      </c>
      <c r="C21" t="s">
        <v>114</v>
      </c>
      <c r="D21" s="4">
        <v>14846.9</v>
      </c>
      <c r="E21">
        <v>2022</v>
      </c>
      <c r="F21" t="s">
        <v>67</v>
      </c>
      <c r="G21" t="s">
        <v>25</v>
      </c>
      <c r="H21" t="s">
        <v>151</v>
      </c>
      <c r="I21" t="s">
        <v>83</v>
      </c>
      <c r="J21" t="s">
        <v>28</v>
      </c>
      <c r="K21" s="5">
        <v>44984</v>
      </c>
      <c r="L21" t="s">
        <v>163</v>
      </c>
      <c r="M21" s="5">
        <v>43633</v>
      </c>
      <c r="N21" s="5">
        <v>43639</v>
      </c>
      <c r="O21" t="s">
        <v>52</v>
      </c>
      <c r="P21" t="s">
        <v>31</v>
      </c>
      <c r="Q21" t="s">
        <v>164</v>
      </c>
      <c r="R21" t="s">
        <v>165</v>
      </c>
      <c r="S21">
        <v>8</v>
      </c>
      <c r="T21" s="6">
        <v>0.27</v>
      </c>
      <c r="U21" s="4">
        <v>2578.04</v>
      </c>
    </row>
    <row r="22" spans="1:21" x14ac:dyDescent="0.3">
      <c r="A22" t="s">
        <v>166</v>
      </c>
      <c r="B22" t="s">
        <v>167</v>
      </c>
      <c r="C22" t="s">
        <v>168</v>
      </c>
      <c r="D22" s="4">
        <v>756.96</v>
      </c>
      <c r="E22">
        <v>2022</v>
      </c>
      <c r="F22" t="s">
        <v>24</v>
      </c>
      <c r="G22" t="s">
        <v>38</v>
      </c>
      <c r="H22" t="s">
        <v>151</v>
      </c>
      <c r="I22" t="s">
        <v>27</v>
      </c>
      <c r="J22" t="s">
        <v>39</v>
      </c>
      <c r="K22" s="5">
        <v>44298</v>
      </c>
      <c r="L22" t="s">
        <v>169</v>
      </c>
      <c r="M22" s="5">
        <v>44069</v>
      </c>
      <c r="N22" s="5">
        <v>44073</v>
      </c>
      <c r="O22" t="s">
        <v>52</v>
      </c>
      <c r="P22" t="s">
        <v>42</v>
      </c>
      <c r="Q22" t="s">
        <v>170</v>
      </c>
      <c r="R22" t="s">
        <v>171</v>
      </c>
      <c r="S22">
        <v>6</v>
      </c>
      <c r="T22" s="6">
        <v>0.5</v>
      </c>
      <c r="U22" s="4">
        <v>61.95</v>
      </c>
    </row>
    <row r="23" spans="1:21" x14ac:dyDescent="0.3">
      <c r="A23" t="s">
        <v>172</v>
      </c>
      <c r="B23" t="s">
        <v>173</v>
      </c>
      <c r="C23" t="s">
        <v>174</v>
      </c>
      <c r="D23" s="4">
        <v>9172.02</v>
      </c>
      <c r="E23">
        <v>2023</v>
      </c>
      <c r="F23" t="s">
        <v>37</v>
      </c>
      <c r="G23" t="s">
        <v>25</v>
      </c>
      <c r="H23" t="s">
        <v>59</v>
      </c>
      <c r="I23" t="s">
        <v>83</v>
      </c>
      <c r="J23" t="s">
        <v>39</v>
      </c>
      <c r="K23" s="5">
        <v>44176</v>
      </c>
      <c r="L23" t="s">
        <v>175</v>
      </c>
      <c r="M23" s="5">
        <v>43773</v>
      </c>
      <c r="N23" s="5">
        <v>43780</v>
      </c>
      <c r="O23" t="s">
        <v>61</v>
      </c>
      <c r="P23" t="s">
        <v>91</v>
      </c>
      <c r="Q23" t="s">
        <v>176</v>
      </c>
      <c r="R23" t="s">
        <v>177</v>
      </c>
      <c r="S23">
        <v>1</v>
      </c>
      <c r="T23" s="6">
        <v>7.0000000000000007E-2</v>
      </c>
      <c r="U23" s="4">
        <v>2279.66</v>
      </c>
    </row>
    <row r="24" spans="1:21" x14ac:dyDescent="0.3">
      <c r="A24" t="s">
        <v>178</v>
      </c>
      <c r="B24" t="s">
        <v>179</v>
      </c>
      <c r="C24" t="s">
        <v>180</v>
      </c>
      <c r="D24" s="4">
        <v>34292.47</v>
      </c>
      <c r="E24">
        <v>2023</v>
      </c>
      <c r="F24" t="s">
        <v>37</v>
      </c>
      <c r="G24" t="s">
        <v>38</v>
      </c>
      <c r="H24" t="s">
        <v>151</v>
      </c>
      <c r="I24" t="s">
        <v>50</v>
      </c>
      <c r="J24" t="s">
        <v>39</v>
      </c>
      <c r="K24" s="5">
        <v>44350</v>
      </c>
      <c r="L24" t="s">
        <v>181</v>
      </c>
      <c r="M24" s="5">
        <v>45263</v>
      </c>
      <c r="N24" s="5">
        <v>45266</v>
      </c>
      <c r="O24" t="s">
        <v>41</v>
      </c>
      <c r="P24" t="s">
        <v>42</v>
      </c>
      <c r="Q24" t="s">
        <v>182</v>
      </c>
      <c r="R24" t="s">
        <v>171</v>
      </c>
      <c r="S24">
        <v>3</v>
      </c>
      <c r="T24" s="6">
        <v>0.03</v>
      </c>
      <c r="U24" s="4">
        <v>9599.41</v>
      </c>
    </row>
    <row r="25" spans="1:21" x14ac:dyDescent="0.3">
      <c r="A25" t="s">
        <v>183</v>
      </c>
      <c r="B25" t="s">
        <v>184</v>
      </c>
      <c r="C25" t="s">
        <v>185</v>
      </c>
      <c r="D25" s="4">
        <v>35973.08</v>
      </c>
      <c r="E25">
        <v>2021</v>
      </c>
      <c r="F25" t="s">
        <v>37</v>
      </c>
      <c r="G25" t="s">
        <v>48</v>
      </c>
      <c r="H25" t="s">
        <v>26</v>
      </c>
      <c r="I25" t="s">
        <v>27</v>
      </c>
      <c r="J25" t="s">
        <v>39</v>
      </c>
      <c r="K25" s="5">
        <v>44465</v>
      </c>
      <c r="L25" t="s">
        <v>186</v>
      </c>
      <c r="M25" s="5">
        <v>44301</v>
      </c>
      <c r="N25" s="5">
        <v>44308</v>
      </c>
      <c r="O25" t="s">
        <v>52</v>
      </c>
      <c r="P25" t="s">
        <v>91</v>
      </c>
      <c r="Q25" t="s">
        <v>187</v>
      </c>
      <c r="R25" t="s">
        <v>44</v>
      </c>
      <c r="S25">
        <v>5</v>
      </c>
      <c r="T25" s="6">
        <v>0.47</v>
      </c>
      <c r="U25" s="4">
        <v>5195.63</v>
      </c>
    </row>
    <row r="26" spans="1:21" x14ac:dyDescent="0.3">
      <c r="A26" t="s">
        <v>188</v>
      </c>
      <c r="B26" t="s">
        <v>189</v>
      </c>
      <c r="C26" t="s">
        <v>190</v>
      </c>
      <c r="D26" s="4">
        <v>44383.63</v>
      </c>
      <c r="E26">
        <v>2023</v>
      </c>
      <c r="F26" t="s">
        <v>24</v>
      </c>
      <c r="G26" t="s">
        <v>38</v>
      </c>
      <c r="H26" t="s">
        <v>68</v>
      </c>
      <c r="I26" t="s">
        <v>83</v>
      </c>
      <c r="J26" t="s">
        <v>28</v>
      </c>
      <c r="K26" s="5">
        <v>44835</v>
      </c>
      <c r="L26" t="s">
        <v>191</v>
      </c>
      <c r="M26" s="5">
        <v>44964</v>
      </c>
      <c r="N26" s="5">
        <v>44969</v>
      </c>
      <c r="O26" t="s">
        <v>61</v>
      </c>
      <c r="P26" t="s">
        <v>129</v>
      </c>
      <c r="Q26" t="s">
        <v>192</v>
      </c>
      <c r="R26" t="s">
        <v>193</v>
      </c>
      <c r="S26">
        <v>6</v>
      </c>
      <c r="T26" s="6">
        <v>0.43</v>
      </c>
      <c r="U26" s="4">
        <v>3482.54</v>
      </c>
    </row>
    <row r="27" spans="1:21" x14ac:dyDescent="0.3">
      <c r="A27" t="s">
        <v>194</v>
      </c>
      <c r="B27" t="s">
        <v>132</v>
      </c>
      <c r="C27" t="s">
        <v>195</v>
      </c>
      <c r="D27" s="4">
        <v>4404.37</v>
      </c>
      <c r="E27">
        <v>2019</v>
      </c>
      <c r="F27" t="s">
        <v>24</v>
      </c>
      <c r="G27" t="s">
        <v>38</v>
      </c>
      <c r="H27" t="s">
        <v>49</v>
      </c>
      <c r="I27" t="s">
        <v>27</v>
      </c>
      <c r="J27" t="s">
        <v>28</v>
      </c>
      <c r="K27" s="5">
        <v>44549</v>
      </c>
      <c r="L27" t="s">
        <v>196</v>
      </c>
      <c r="M27" s="5">
        <v>43582</v>
      </c>
      <c r="N27" s="5">
        <v>43586</v>
      </c>
      <c r="O27" t="s">
        <v>61</v>
      </c>
      <c r="P27" t="s">
        <v>42</v>
      </c>
      <c r="Q27" t="s">
        <v>197</v>
      </c>
      <c r="R27" t="s">
        <v>93</v>
      </c>
      <c r="S27">
        <v>3</v>
      </c>
      <c r="T27" s="6">
        <v>0.47</v>
      </c>
      <c r="U27" s="4">
        <v>397.14</v>
      </c>
    </row>
    <row r="28" spans="1:21" x14ac:dyDescent="0.3">
      <c r="A28" t="s">
        <v>198</v>
      </c>
      <c r="B28" t="s">
        <v>199</v>
      </c>
      <c r="C28" t="s">
        <v>200</v>
      </c>
      <c r="D28" s="4">
        <v>34934.14</v>
      </c>
      <c r="E28">
        <v>2020</v>
      </c>
      <c r="F28" t="s">
        <v>37</v>
      </c>
      <c r="G28" t="s">
        <v>48</v>
      </c>
      <c r="H28" t="s">
        <v>49</v>
      </c>
      <c r="I28" t="s">
        <v>27</v>
      </c>
      <c r="J28" t="s">
        <v>39</v>
      </c>
      <c r="K28" s="5">
        <v>43830</v>
      </c>
      <c r="L28" t="s">
        <v>201</v>
      </c>
      <c r="M28" s="5">
        <v>44550</v>
      </c>
      <c r="N28" s="5">
        <v>44554</v>
      </c>
      <c r="O28" t="s">
        <v>41</v>
      </c>
      <c r="P28" t="s">
        <v>110</v>
      </c>
      <c r="Q28" t="s">
        <v>202</v>
      </c>
      <c r="R28" t="s">
        <v>55</v>
      </c>
      <c r="S28">
        <v>9</v>
      </c>
      <c r="T28" s="6">
        <v>0.46</v>
      </c>
      <c r="U28" s="4">
        <v>4657.6099999999997</v>
      </c>
    </row>
    <row r="29" spans="1:21" x14ac:dyDescent="0.3">
      <c r="A29" t="s">
        <v>203</v>
      </c>
      <c r="B29" t="s">
        <v>204</v>
      </c>
      <c r="C29" t="s">
        <v>205</v>
      </c>
      <c r="D29" s="4">
        <v>2361.71</v>
      </c>
      <c r="E29">
        <v>2020</v>
      </c>
      <c r="F29" t="s">
        <v>37</v>
      </c>
      <c r="G29" t="s">
        <v>25</v>
      </c>
      <c r="H29" t="s">
        <v>151</v>
      </c>
      <c r="I29" t="s">
        <v>83</v>
      </c>
      <c r="J29" t="s">
        <v>28</v>
      </c>
      <c r="K29" s="5">
        <v>44505</v>
      </c>
      <c r="L29" t="s">
        <v>206</v>
      </c>
      <c r="M29" s="5">
        <v>43561</v>
      </c>
      <c r="N29" s="5">
        <v>43568</v>
      </c>
      <c r="O29" t="s">
        <v>30</v>
      </c>
      <c r="P29" t="s">
        <v>116</v>
      </c>
      <c r="Q29" t="s">
        <v>207</v>
      </c>
      <c r="R29" t="s">
        <v>154</v>
      </c>
      <c r="S29">
        <v>5</v>
      </c>
      <c r="T29" s="6">
        <v>0.38</v>
      </c>
      <c r="U29" s="4">
        <v>373.96</v>
      </c>
    </row>
    <row r="30" spans="1:21" x14ac:dyDescent="0.3">
      <c r="A30" t="s">
        <v>208</v>
      </c>
      <c r="B30" t="s">
        <v>209</v>
      </c>
      <c r="C30" t="s">
        <v>210</v>
      </c>
      <c r="D30" s="4">
        <v>24468.77</v>
      </c>
      <c r="E30">
        <v>2021</v>
      </c>
      <c r="F30" t="s">
        <v>67</v>
      </c>
      <c r="G30" t="s">
        <v>38</v>
      </c>
      <c r="H30" t="s">
        <v>151</v>
      </c>
      <c r="I30" t="s">
        <v>50</v>
      </c>
      <c r="J30" t="s">
        <v>28</v>
      </c>
      <c r="K30" s="5">
        <v>43491</v>
      </c>
      <c r="L30" t="s">
        <v>211</v>
      </c>
      <c r="M30" s="5">
        <v>44612</v>
      </c>
      <c r="N30" s="5">
        <v>44617</v>
      </c>
      <c r="O30" t="s">
        <v>30</v>
      </c>
      <c r="P30" t="s">
        <v>42</v>
      </c>
      <c r="Q30" t="s">
        <v>212</v>
      </c>
      <c r="R30" t="s">
        <v>171</v>
      </c>
      <c r="S30">
        <v>9</v>
      </c>
      <c r="T30" s="6">
        <v>0.3</v>
      </c>
      <c r="U30" s="4">
        <v>3914.79</v>
      </c>
    </row>
    <row r="31" spans="1:21" x14ac:dyDescent="0.3">
      <c r="A31" t="s">
        <v>213</v>
      </c>
      <c r="B31" t="s">
        <v>132</v>
      </c>
      <c r="C31" t="s">
        <v>214</v>
      </c>
      <c r="D31" s="4">
        <v>16716.48</v>
      </c>
      <c r="E31">
        <v>2019</v>
      </c>
      <c r="F31" t="s">
        <v>67</v>
      </c>
      <c r="G31" t="s">
        <v>48</v>
      </c>
      <c r="H31" t="s">
        <v>151</v>
      </c>
      <c r="I31" t="s">
        <v>83</v>
      </c>
      <c r="J31" t="s">
        <v>39</v>
      </c>
      <c r="K31" s="5">
        <v>44555</v>
      </c>
      <c r="L31" t="s">
        <v>215</v>
      </c>
      <c r="M31" s="5">
        <v>43605</v>
      </c>
      <c r="N31" s="5">
        <v>43612</v>
      </c>
      <c r="O31" t="s">
        <v>30</v>
      </c>
      <c r="P31" t="s">
        <v>42</v>
      </c>
      <c r="Q31" t="s">
        <v>216</v>
      </c>
      <c r="R31" t="s">
        <v>165</v>
      </c>
      <c r="S31">
        <v>2</v>
      </c>
      <c r="T31" s="6">
        <v>0.39</v>
      </c>
      <c r="U31" s="4">
        <v>1748.93</v>
      </c>
    </row>
    <row r="32" spans="1:21" x14ac:dyDescent="0.3">
      <c r="A32" t="s">
        <v>217</v>
      </c>
      <c r="B32" t="s">
        <v>218</v>
      </c>
      <c r="C32" t="s">
        <v>219</v>
      </c>
      <c r="D32" s="4">
        <v>6167.65</v>
      </c>
      <c r="E32">
        <v>2020</v>
      </c>
      <c r="F32" t="s">
        <v>37</v>
      </c>
      <c r="G32" t="s">
        <v>38</v>
      </c>
      <c r="H32" t="s">
        <v>68</v>
      </c>
      <c r="I32" t="s">
        <v>50</v>
      </c>
      <c r="J32" t="s">
        <v>28</v>
      </c>
      <c r="K32" s="5">
        <v>44694</v>
      </c>
      <c r="L32" t="s">
        <v>220</v>
      </c>
      <c r="M32" s="5">
        <v>43529</v>
      </c>
      <c r="N32" s="5">
        <v>43534</v>
      </c>
      <c r="O32" t="s">
        <v>30</v>
      </c>
      <c r="P32" t="s">
        <v>71</v>
      </c>
      <c r="Q32" t="s">
        <v>221</v>
      </c>
      <c r="R32" t="s">
        <v>222</v>
      </c>
      <c r="S32">
        <v>3</v>
      </c>
      <c r="T32" s="6">
        <v>0.28999999999999998</v>
      </c>
      <c r="U32" s="4">
        <v>583.15</v>
      </c>
    </row>
    <row r="33" spans="1:21" x14ac:dyDescent="0.3">
      <c r="A33" t="s">
        <v>223</v>
      </c>
      <c r="B33" t="s">
        <v>224</v>
      </c>
      <c r="C33" t="s">
        <v>225</v>
      </c>
      <c r="D33" s="4">
        <v>44969.55</v>
      </c>
      <c r="E33">
        <v>2021</v>
      </c>
      <c r="F33" t="s">
        <v>24</v>
      </c>
      <c r="G33" t="s">
        <v>25</v>
      </c>
      <c r="H33" t="s">
        <v>26</v>
      </c>
      <c r="I33" t="s">
        <v>50</v>
      </c>
      <c r="J33" t="s">
        <v>28</v>
      </c>
      <c r="K33" s="5">
        <v>44831</v>
      </c>
      <c r="L33" t="s">
        <v>226</v>
      </c>
      <c r="M33" s="5">
        <v>45071</v>
      </c>
      <c r="N33" s="5">
        <v>45074</v>
      </c>
      <c r="O33" t="s">
        <v>61</v>
      </c>
      <c r="P33" t="s">
        <v>146</v>
      </c>
      <c r="Q33" t="s">
        <v>227</v>
      </c>
      <c r="R33" t="s">
        <v>33</v>
      </c>
      <c r="S33">
        <v>2</v>
      </c>
      <c r="T33" s="6">
        <v>0.11</v>
      </c>
      <c r="U33" s="4">
        <v>9788.65</v>
      </c>
    </row>
    <row r="34" spans="1:21" x14ac:dyDescent="0.3">
      <c r="A34" t="s">
        <v>228</v>
      </c>
      <c r="B34" t="s">
        <v>229</v>
      </c>
      <c r="C34" t="s">
        <v>180</v>
      </c>
      <c r="D34" s="4">
        <v>38388.239999999998</v>
      </c>
      <c r="E34">
        <v>2022</v>
      </c>
      <c r="F34" t="s">
        <v>37</v>
      </c>
      <c r="G34" t="s">
        <v>48</v>
      </c>
      <c r="H34" t="s">
        <v>102</v>
      </c>
      <c r="I34" t="s">
        <v>50</v>
      </c>
      <c r="J34" t="s">
        <v>28</v>
      </c>
      <c r="K34" s="5">
        <v>43979</v>
      </c>
      <c r="L34" t="s">
        <v>230</v>
      </c>
      <c r="M34" s="5">
        <v>45270</v>
      </c>
      <c r="N34" s="5">
        <v>45271</v>
      </c>
      <c r="O34" t="s">
        <v>30</v>
      </c>
      <c r="P34" t="s">
        <v>91</v>
      </c>
      <c r="Q34" t="s">
        <v>231</v>
      </c>
      <c r="R34" t="s">
        <v>232</v>
      </c>
      <c r="S34">
        <v>2</v>
      </c>
      <c r="T34" s="6">
        <v>0.14000000000000001</v>
      </c>
      <c r="U34" s="4">
        <v>3832.45</v>
      </c>
    </row>
    <row r="35" spans="1:21" x14ac:dyDescent="0.3">
      <c r="A35" t="s">
        <v>233</v>
      </c>
      <c r="B35" t="s">
        <v>234</v>
      </c>
      <c r="C35" t="s">
        <v>190</v>
      </c>
      <c r="D35" s="4">
        <v>4999.82</v>
      </c>
      <c r="E35">
        <v>2022</v>
      </c>
      <c r="F35" t="s">
        <v>37</v>
      </c>
      <c r="G35" t="s">
        <v>25</v>
      </c>
      <c r="H35" t="s">
        <v>49</v>
      </c>
      <c r="I35" t="s">
        <v>69</v>
      </c>
      <c r="J35" t="s">
        <v>28</v>
      </c>
      <c r="K35" s="5">
        <v>44939</v>
      </c>
      <c r="L35" t="s">
        <v>235</v>
      </c>
      <c r="M35" s="5">
        <v>45135</v>
      </c>
      <c r="N35" s="5">
        <v>45140</v>
      </c>
      <c r="O35" t="s">
        <v>61</v>
      </c>
      <c r="P35" t="s">
        <v>53</v>
      </c>
      <c r="Q35" t="s">
        <v>236</v>
      </c>
      <c r="R35" t="s">
        <v>93</v>
      </c>
      <c r="S35">
        <v>8</v>
      </c>
      <c r="T35" s="6">
        <v>0.36</v>
      </c>
      <c r="U35" s="4">
        <v>867.85</v>
      </c>
    </row>
    <row r="36" spans="1:21" x14ac:dyDescent="0.3">
      <c r="A36" t="s">
        <v>237</v>
      </c>
      <c r="B36" t="s">
        <v>238</v>
      </c>
      <c r="C36" t="s">
        <v>239</v>
      </c>
      <c r="D36" s="4">
        <v>32193.01</v>
      </c>
      <c r="E36">
        <v>2022</v>
      </c>
      <c r="F36" t="s">
        <v>24</v>
      </c>
      <c r="G36" t="s">
        <v>38</v>
      </c>
      <c r="H36" t="s">
        <v>151</v>
      </c>
      <c r="I36" t="s">
        <v>69</v>
      </c>
      <c r="J36" t="s">
        <v>28</v>
      </c>
      <c r="K36" s="5">
        <v>43552</v>
      </c>
      <c r="L36" t="s">
        <v>240</v>
      </c>
      <c r="M36" s="5">
        <v>44953</v>
      </c>
      <c r="N36" s="5">
        <v>44956</v>
      </c>
      <c r="O36" t="s">
        <v>41</v>
      </c>
      <c r="P36" t="s">
        <v>53</v>
      </c>
      <c r="Q36" t="s">
        <v>241</v>
      </c>
      <c r="R36" t="s">
        <v>160</v>
      </c>
      <c r="S36">
        <v>7</v>
      </c>
      <c r="T36" s="6">
        <v>0.08</v>
      </c>
      <c r="U36" s="4">
        <v>4603.5200000000004</v>
      </c>
    </row>
    <row r="37" spans="1:21" x14ac:dyDescent="0.3">
      <c r="A37" t="s">
        <v>242</v>
      </c>
      <c r="B37" t="s">
        <v>243</v>
      </c>
      <c r="C37" t="s">
        <v>244</v>
      </c>
      <c r="D37" s="4">
        <v>33453.57</v>
      </c>
      <c r="E37">
        <v>2023</v>
      </c>
      <c r="F37" t="s">
        <v>67</v>
      </c>
      <c r="G37" t="s">
        <v>48</v>
      </c>
      <c r="H37" t="s">
        <v>59</v>
      </c>
      <c r="I37" t="s">
        <v>83</v>
      </c>
      <c r="J37" t="s">
        <v>39</v>
      </c>
      <c r="K37" s="5">
        <v>44844</v>
      </c>
      <c r="L37" t="s">
        <v>245</v>
      </c>
      <c r="M37" s="5">
        <v>45171</v>
      </c>
      <c r="N37" s="5">
        <v>45172</v>
      </c>
      <c r="O37" t="s">
        <v>52</v>
      </c>
      <c r="P37" t="s">
        <v>53</v>
      </c>
      <c r="Q37" t="s">
        <v>246</v>
      </c>
      <c r="R37" t="s">
        <v>86</v>
      </c>
      <c r="S37">
        <v>8</v>
      </c>
      <c r="T37" s="6">
        <v>0.43</v>
      </c>
      <c r="U37" s="4">
        <v>5456.87</v>
      </c>
    </row>
    <row r="38" spans="1:21" x14ac:dyDescent="0.3">
      <c r="A38" t="s">
        <v>247</v>
      </c>
      <c r="B38" t="s">
        <v>248</v>
      </c>
      <c r="C38" t="s">
        <v>205</v>
      </c>
      <c r="D38" s="4">
        <v>41830.92</v>
      </c>
      <c r="E38">
        <v>2022</v>
      </c>
      <c r="F38" t="s">
        <v>24</v>
      </c>
      <c r="G38" t="s">
        <v>25</v>
      </c>
      <c r="H38" t="s">
        <v>102</v>
      </c>
      <c r="I38" t="s">
        <v>50</v>
      </c>
      <c r="J38" t="s">
        <v>28</v>
      </c>
      <c r="K38" s="5">
        <v>43818</v>
      </c>
      <c r="L38" t="s">
        <v>249</v>
      </c>
      <c r="M38" s="5">
        <v>43808</v>
      </c>
      <c r="N38" s="5">
        <v>43809</v>
      </c>
      <c r="O38" t="s">
        <v>52</v>
      </c>
      <c r="P38" t="s">
        <v>129</v>
      </c>
      <c r="Q38" t="s">
        <v>250</v>
      </c>
      <c r="R38" t="s">
        <v>124</v>
      </c>
      <c r="S38">
        <v>5</v>
      </c>
      <c r="T38" s="6">
        <v>0.22</v>
      </c>
      <c r="U38" s="4">
        <v>5209.41</v>
      </c>
    </row>
    <row r="39" spans="1:21" x14ac:dyDescent="0.3">
      <c r="A39" t="s">
        <v>251</v>
      </c>
      <c r="B39" t="s">
        <v>252</v>
      </c>
      <c r="C39" t="s">
        <v>253</v>
      </c>
      <c r="D39" s="4">
        <v>31602.21</v>
      </c>
      <c r="E39">
        <v>2019</v>
      </c>
      <c r="F39" t="s">
        <v>37</v>
      </c>
      <c r="G39" t="s">
        <v>48</v>
      </c>
      <c r="H39" t="s">
        <v>151</v>
      </c>
      <c r="I39" t="s">
        <v>50</v>
      </c>
      <c r="J39" t="s">
        <v>39</v>
      </c>
      <c r="K39" s="5">
        <v>45288</v>
      </c>
      <c r="L39" t="s">
        <v>254</v>
      </c>
      <c r="M39" s="5">
        <v>44550</v>
      </c>
      <c r="N39" s="5">
        <v>44556</v>
      </c>
      <c r="O39" t="s">
        <v>52</v>
      </c>
      <c r="P39" t="s">
        <v>129</v>
      </c>
      <c r="Q39" t="s">
        <v>255</v>
      </c>
      <c r="R39" t="s">
        <v>160</v>
      </c>
      <c r="S39">
        <v>3</v>
      </c>
      <c r="T39" s="6">
        <v>0.49</v>
      </c>
      <c r="U39" s="4">
        <v>2620.14</v>
      </c>
    </row>
    <row r="40" spans="1:21" x14ac:dyDescent="0.3">
      <c r="A40" t="s">
        <v>256</v>
      </c>
      <c r="B40" t="s">
        <v>243</v>
      </c>
      <c r="C40" t="s">
        <v>257</v>
      </c>
      <c r="D40" s="4">
        <v>7903.34</v>
      </c>
      <c r="E40">
        <v>2019</v>
      </c>
      <c r="F40" t="s">
        <v>37</v>
      </c>
      <c r="G40" t="s">
        <v>25</v>
      </c>
      <c r="H40" t="s">
        <v>49</v>
      </c>
      <c r="I40" t="s">
        <v>83</v>
      </c>
      <c r="J40" t="s">
        <v>28</v>
      </c>
      <c r="K40" s="5">
        <v>45037</v>
      </c>
      <c r="L40" t="s">
        <v>258</v>
      </c>
      <c r="M40" s="5">
        <v>44252</v>
      </c>
      <c r="N40" s="5">
        <v>44254</v>
      </c>
      <c r="O40" t="s">
        <v>41</v>
      </c>
      <c r="P40" t="s">
        <v>110</v>
      </c>
      <c r="Q40" t="s">
        <v>259</v>
      </c>
      <c r="R40" t="s">
        <v>55</v>
      </c>
      <c r="S40">
        <v>3</v>
      </c>
      <c r="T40" s="6">
        <v>0.06</v>
      </c>
      <c r="U40" s="4">
        <v>1187.42</v>
      </c>
    </row>
    <row r="41" spans="1:21" x14ac:dyDescent="0.3">
      <c r="A41" t="s">
        <v>260</v>
      </c>
      <c r="B41" t="s">
        <v>261</v>
      </c>
      <c r="C41" t="s">
        <v>262</v>
      </c>
      <c r="D41" s="4">
        <v>23667.32</v>
      </c>
      <c r="E41">
        <v>2021</v>
      </c>
      <c r="F41" t="s">
        <v>24</v>
      </c>
      <c r="G41" t="s">
        <v>48</v>
      </c>
      <c r="H41" t="s">
        <v>151</v>
      </c>
      <c r="I41" t="s">
        <v>50</v>
      </c>
      <c r="J41" t="s">
        <v>39</v>
      </c>
      <c r="K41" s="5">
        <v>43970</v>
      </c>
      <c r="L41" t="s">
        <v>263</v>
      </c>
      <c r="M41" s="5">
        <v>44462</v>
      </c>
      <c r="N41" s="5">
        <v>44468</v>
      </c>
      <c r="O41" t="s">
        <v>61</v>
      </c>
      <c r="P41" t="s">
        <v>53</v>
      </c>
      <c r="Q41" t="s">
        <v>264</v>
      </c>
      <c r="R41" t="s">
        <v>154</v>
      </c>
      <c r="S41">
        <v>2</v>
      </c>
      <c r="T41" s="6">
        <v>7.0000000000000007E-2</v>
      </c>
      <c r="U41" s="4">
        <v>3631.17</v>
      </c>
    </row>
    <row r="42" spans="1:21" x14ac:dyDescent="0.3">
      <c r="A42" t="s">
        <v>265</v>
      </c>
      <c r="B42" t="s">
        <v>266</v>
      </c>
      <c r="C42" t="s">
        <v>267</v>
      </c>
      <c r="D42" s="4">
        <v>39762.15</v>
      </c>
      <c r="E42">
        <v>2023</v>
      </c>
      <c r="F42" t="s">
        <v>24</v>
      </c>
      <c r="G42" t="s">
        <v>38</v>
      </c>
      <c r="H42" t="s">
        <v>102</v>
      </c>
      <c r="I42" t="s">
        <v>83</v>
      </c>
      <c r="J42" t="s">
        <v>39</v>
      </c>
      <c r="K42" s="5">
        <v>44668</v>
      </c>
      <c r="L42" t="s">
        <v>268</v>
      </c>
      <c r="M42" s="5">
        <v>44966</v>
      </c>
      <c r="N42" s="5">
        <v>44972</v>
      </c>
      <c r="O42" t="s">
        <v>30</v>
      </c>
      <c r="P42" t="s">
        <v>42</v>
      </c>
      <c r="Q42" t="s">
        <v>269</v>
      </c>
      <c r="R42" t="s">
        <v>124</v>
      </c>
      <c r="S42">
        <v>10</v>
      </c>
      <c r="T42" s="6">
        <v>0.03</v>
      </c>
      <c r="U42" s="4">
        <v>6437.84</v>
      </c>
    </row>
    <row r="43" spans="1:21" x14ac:dyDescent="0.3">
      <c r="A43" t="s">
        <v>270</v>
      </c>
      <c r="B43" t="s">
        <v>271</v>
      </c>
      <c r="C43" t="s">
        <v>272</v>
      </c>
      <c r="D43" s="4">
        <v>10843.03</v>
      </c>
      <c r="E43">
        <v>2021</v>
      </c>
      <c r="F43" t="s">
        <v>37</v>
      </c>
      <c r="G43" t="s">
        <v>25</v>
      </c>
      <c r="H43" t="s">
        <v>59</v>
      </c>
      <c r="I43" t="s">
        <v>83</v>
      </c>
      <c r="J43" t="s">
        <v>28</v>
      </c>
      <c r="K43" s="5">
        <v>43602</v>
      </c>
      <c r="L43" t="s">
        <v>273</v>
      </c>
      <c r="M43" s="5">
        <v>43545</v>
      </c>
      <c r="N43" s="5">
        <v>43546</v>
      </c>
      <c r="O43" t="s">
        <v>52</v>
      </c>
      <c r="P43" t="s">
        <v>42</v>
      </c>
      <c r="Q43" t="s">
        <v>274</v>
      </c>
      <c r="R43" t="s">
        <v>177</v>
      </c>
      <c r="S43">
        <v>7</v>
      </c>
      <c r="T43" s="6">
        <v>0.08</v>
      </c>
      <c r="U43" s="4">
        <v>2550.7399999999998</v>
      </c>
    </row>
    <row r="44" spans="1:21" x14ac:dyDescent="0.3">
      <c r="A44" t="s">
        <v>275</v>
      </c>
      <c r="B44" t="s">
        <v>143</v>
      </c>
      <c r="C44" t="s">
        <v>276</v>
      </c>
      <c r="D44" s="4">
        <v>35014.14</v>
      </c>
      <c r="E44">
        <v>2021</v>
      </c>
      <c r="F44" t="s">
        <v>67</v>
      </c>
      <c r="G44" t="s">
        <v>25</v>
      </c>
      <c r="H44" t="s">
        <v>26</v>
      </c>
      <c r="I44" t="s">
        <v>50</v>
      </c>
      <c r="J44" t="s">
        <v>28</v>
      </c>
      <c r="K44" s="5">
        <v>44909</v>
      </c>
      <c r="L44" t="s">
        <v>277</v>
      </c>
      <c r="M44" s="5">
        <v>44757</v>
      </c>
      <c r="N44" s="5">
        <v>44762</v>
      </c>
      <c r="O44" t="s">
        <v>41</v>
      </c>
      <c r="P44" t="s">
        <v>71</v>
      </c>
      <c r="Q44" t="s">
        <v>278</v>
      </c>
      <c r="R44" t="s">
        <v>279</v>
      </c>
      <c r="S44">
        <v>8</v>
      </c>
      <c r="T44" s="6">
        <v>0.19</v>
      </c>
      <c r="U44" s="4">
        <v>6929.86</v>
      </c>
    </row>
    <row r="45" spans="1:21" x14ac:dyDescent="0.3">
      <c r="A45" t="s">
        <v>280</v>
      </c>
      <c r="B45" t="s">
        <v>281</v>
      </c>
      <c r="C45" t="s">
        <v>282</v>
      </c>
      <c r="D45" s="4">
        <v>49912.22</v>
      </c>
      <c r="E45">
        <v>2020</v>
      </c>
      <c r="F45" t="s">
        <v>37</v>
      </c>
      <c r="G45" t="s">
        <v>38</v>
      </c>
      <c r="H45" t="s">
        <v>59</v>
      </c>
      <c r="I45" t="s">
        <v>83</v>
      </c>
      <c r="J45" t="s">
        <v>39</v>
      </c>
      <c r="K45" s="5">
        <v>43695</v>
      </c>
      <c r="L45" t="s">
        <v>283</v>
      </c>
      <c r="M45" s="5">
        <v>44490</v>
      </c>
      <c r="N45" s="5">
        <v>44496</v>
      </c>
      <c r="O45" t="s">
        <v>61</v>
      </c>
      <c r="P45" t="s">
        <v>129</v>
      </c>
      <c r="Q45" t="s">
        <v>284</v>
      </c>
      <c r="R45" t="s">
        <v>86</v>
      </c>
      <c r="S45">
        <v>3</v>
      </c>
      <c r="T45" s="6">
        <v>0</v>
      </c>
      <c r="U45" s="4">
        <v>7076.5</v>
      </c>
    </row>
    <row r="46" spans="1:21" x14ac:dyDescent="0.3">
      <c r="A46" t="s">
        <v>285</v>
      </c>
      <c r="B46" t="s">
        <v>286</v>
      </c>
      <c r="C46" t="s">
        <v>287</v>
      </c>
      <c r="D46" s="4">
        <v>11595.62</v>
      </c>
      <c r="E46">
        <v>2023</v>
      </c>
      <c r="F46" t="s">
        <v>67</v>
      </c>
      <c r="G46" t="s">
        <v>38</v>
      </c>
      <c r="H46" t="s">
        <v>26</v>
      </c>
      <c r="I46" t="s">
        <v>27</v>
      </c>
      <c r="J46" t="s">
        <v>28</v>
      </c>
      <c r="K46" s="5">
        <v>44135</v>
      </c>
      <c r="L46" t="s">
        <v>288</v>
      </c>
      <c r="M46" s="5">
        <v>44525</v>
      </c>
      <c r="N46" s="5">
        <v>44527</v>
      </c>
      <c r="O46" t="s">
        <v>61</v>
      </c>
      <c r="P46" t="s">
        <v>78</v>
      </c>
      <c r="Q46" t="s">
        <v>289</v>
      </c>
      <c r="R46" t="s">
        <v>44</v>
      </c>
      <c r="S46">
        <v>6</v>
      </c>
      <c r="T46" s="6">
        <v>0.02</v>
      </c>
      <c r="U46" s="4">
        <v>1819.63</v>
      </c>
    </row>
    <row r="47" spans="1:21" x14ac:dyDescent="0.3">
      <c r="A47" t="s">
        <v>290</v>
      </c>
      <c r="B47" t="s">
        <v>291</v>
      </c>
      <c r="C47" t="s">
        <v>292</v>
      </c>
      <c r="D47" s="4">
        <v>40938.720000000001</v>
      </c>
      <c r="E47">
        <v>2019</v>
      </c>
      <c r="F47" t="s">
        <v>37</v>
      </c>
      <c r="G47" t="s">
        <v>48</v>
      </c>
      <c r="H47" t="s">
        <v>49</v>
      </c>
      <c r="I47" t="s">
        <v>83</v>
      </c>
      <c r="J47" t="s">
        <v>28</v>
      </c>
      <c r="K47" s="5">
        <v>43651</v>
      </c>
      <c r="L47" t="s">
        <v>293</v>
      </c>
      <c r="M47" s="5">
        <v>45154</v>
      </c>
      <c r="N47" s="5">
        <v>45161</v>
      </c>
      <c r="O47" t="s">
        <v>61</v>
      </c>
      <c r="P47" t="s">
        <v>129</v>
      </c>
      <c r="Q47" t="s">
        <v>294</v>
      </c>
      <c r="R47" t="s">
        <v>295</v>
      </c>
      <c r="S47">
        <v>7</v>
      </c>
      <c r="T47" s="6">
        <v>0.32</v>
      </c>
      <c r="U47" s="4">
        <v>4902.8100000000004</v>
      </c>
    </row>
    <row r="48" spans="1:21" x14ac:dyDescent="0.3">
      <c r="A48" t="s">
        <v>296</v>
      </c>
      <c r="B48" t="s">
        <v>297</v>
      </c>
      <c r="C48" t="s">
        <v>298</v>
      </c>
      <c r="D48" s="4">
        <v>43356.81</v>
      </c>
      <c r="E48">
        <v>2023</v>
      </c>
      <c r="F48" t="s">
        <v>67</v>
      </c>
      <c r="G48" t="s">
        <v>38</v>
      </c>
      <c r="H48" t="s">
        <v>68</v>
      </c>
      <c r="I48" t="s">
        <v>69</v>
      </c>
      <c r="J48" t="s">
        <v>39</v>
      </c>
      <c r="K48" s="5">
        <v>44357</v>
      </c>
      <c r="L48" t="s">
        <v>299</v>
      </c>
      <c r="M48" s="5">
        <v>43794</v>
      </c>
      <c r="N48" s="5">
        <v>43796</v>
      </c>
      <c r="O48" t="s">
        <v>41</v>
      </c>
      <c r="P48" t="s">
        <v>91</v>
      </c>
      <c r="Q48" t="s">
        <v>300</v>
      </c>
      <c r="R48" t="s">
        <v>118</v>
      </c>
      <c r="S48">
        <v>10</v>
      </c>
      <c r="T48" s="6">
        <v>0.14000000000000001</v>
      </c>
      <c r="U48" s="4">
        <v>6415</v>
      </c>
    </row>
    <row r="49" spans="1:21" x14ac:dyDescent="0.3">
      <c r="A49" t="s">
        <v>301</v>
      </c>
      <c r="B49" t="s">
        <v>302</v>
      </c>
      <c r="C49" t="s">
        <v>303</v>
      </c>
      <c r="D49" s="4">
        <v>37449.42</v>
      </c>
      <c r="E49">
        <v>2019</v>
      </c>
      <c r="F49" t="s">
        <v>67</v>
      </c>
      <c r="G49" t="s">
        <v>48</v>
      </c>
      <c r="H49" t="s">
        <v>59</v>
      </c>
      <c r="I49" t="s">
        <v>27</v>
      </c>
      <c r="J49" t="s">
        <v>28</v>
      </c>
      <c r="K49" s="5">
        <v>45075</v>
      </c>
      <c r="L49" t="s">
        <v>304</v>
      </c>
      <c r="M49" s="5">
        <v>43873</v>
      </c>
      <c r="N49" s="5">
        <v>43879</v>
      </c>
      <c r="O49" t="s">
        <v>30</v>
      </c>
      <c r="P49" t="s">
        <v>31</v>
      </c>
      <c r="Q49" t="s">
        <v>305</v>
      </c>
      <c r="R49" t="s">
        <v>306</v>
      </c>
      <c r="S49">
        <v>1</v>
      </c>
      <c r="T49" s="6">
        <v>0.4</v>
      </c>
      <c r="U49" s="4">
        <v>5330.17</v>
      </c>
    </row>
    <row r="50" spans="1:21" x14ac:dyDescent="0.3">
      <c r="A50" t="s">
        <v>307</v>
      </c>
      <c r="B50" t="s">
        <v>308</v>
      </c>
      <c r="C50" t="s">
        <v>309</v>
      </c>
      <c r="D50" s="4">
        <v>378.65</v>
      </c>
      <c r="E50">
        <v>2022</v>
      </c>
      <c r="F50" t="s">
        <v>24</v>
      </c>
      <c r="G50" t="s">
        <v>48</v>
      </c>
      <c r="H50" t="s">
        <v>49</v>
      </c>
      <c r="I50" t="s">
        <v>83</v>
      </c>
      <c r="J50" t="s">
        <v>28</v>
      </c>
      <c r="K50" s="5">
        <v>44904</v>
      </c>
      <c r="L50" t="s">
        <v>310</v>
      </c>
      <c r="M50" s="5">
        <v>44384</v>
      </c>
      <c r="N50" s="5">
        <v>44389</v>
      </c>
      <c r="O50" t="s">
        <v>61</v>
      </c>
      <c r="P50" t="s">
        <v>31</v>
      </c>
      <c r="Q50" t="s">
        <v>311</v>
      </c>
      <c r="R50" t="s">
        <v>93</v>
      </c>
      <c r="S50">
        <v>6</v>
      </c>
      <c r="T50" s="6">
        <v>0.44</v>
      </c>
      <c r="U50" s="4">
        <v>30.32</v>
      </c>
    </row>
    <row r="51" spans="1:21" x14ac:dyDescent="0.3">
      <c r="A51" t="s">
        <v>312</v>
      </c>
      <c r="B51" t="s">
        <v>313</v>
      </c>
      <c r="C51" t="s">
        <v>314</v>
      </c>
      <c r="D51" s="4">
        <v>4596.0600000000004</v>
      </c>
      <c r="E51">
        <v>2021</v>
      </c>
      <c r="F51" t="s">
        <v>67</v>
      </c>
      <c r="G51" t="s">
        <v>48</v>
      </c>
      <c r="H51" t="s">
        <v>151</v>
      </c>
      <c r="I51" t="s">
        <v>69</v>
      </c>
      <c r="J51" t="s">
        <v>39</v>
      </c>
      <c r="K51" s="5">
        <v>43726</v>
      </c>
      <c r="L51" t="s">
        <v>315</v>
      </c>
      <c r="M51" s="5">
        <v>43850</v>
      </c>
      <c r="N51" s="5">
        <v>43853</v>
      </c>
      <c r="O51" t="s">
        <v>41</v>
      </c>
      <c r="P51" t="s">
        <v>129</v>
      </c>
      <c r="Q51" t="s">
        <v>316</v>
      </c>
      <c r="R51" t="s">
        <v>171</v>
      </c>
      <c r="S51">
        <v>1</v>
      </c>
      <c r="T51" s="6">
        <v>0.09</v>
      </c>
      <c r="U51" s="4">
        <v>566.91</v>
      </c>
    </row>
    <row r="52" spans="1:21" x14ac:dyDescent="0.3">
      <c r="A52" t="s">
        <v>317</v>
      </c>
      <c r="B52" t="s">
        <v>318</v>
      </c>
      <c r="C52" t="s">
        <v>319</v>
      </c>
      <c r="D52" s="4">
        <v>15945.03</v>
      </c>
      <c r="E52">
        <v>2019</v>
      </c>
      <c r="F52" t="s">
        <v>24</v>
      </c>
      <c r="G52" t="s">
        <v>25</v>
      </c>
      <c r="H52" t="s">
        <v>151</v>
      </c>
      <c r="I52" t="s">
        <v>27</v>
      </c>
      <c r="J52" t="s">
        <v>28</v>
      </c>
      <c r="K52" s="5">
        <v>45080</v>
      </c>
      <c r="L52" t="s">
        <v>320</v>
      </c>
      <c r="M52" s="5">
        <v>43971</v>
      </c>
      <c r="N52" s="5">
        <v>43974</v>
      </c>
      <c r="O52" t="s">
        <v>52</v>
      </c>
      <c r="P52" t="s">
        <v>91</v>
      </c>
      <c r="Q52" t="s">
        <v>321</v>
      </c>
      <c r="R52" t="s">
        <v>165</v>
      </c>
      <c r="S52">
        <v>9</v>
      </c>
      <c r="T52" s="6">
        <v>0.41</v>
      </c>
      <c r="U52" s="4">
        <v>2139.7800000000002</v>
      </c>
    </row>
    <row r="53" spans="1:21" x14ac:dyDescent="0.3">
      <c r="A53" t="s">
        <v>322</v>
      </c>
      <c r="B53" t="s">
        <v>271</v>
      </c>
      <c r="C53" t="s">
        <v>323</v>
      </c>
      <c r="D53" s="4">
        <v>45056.72</v>
      </c>
      <c r="E53">
        <v>2021</v>
      </c>
      <c r="F53" t="s">
        <v>67</v>
      </c>
      <c r="G53" t="s">
        <v>48</v>
      </c>
      <c r="H53" t="s">
        <v>151</v>
      </c>
      <c r="I53" t="s">
        <v>27</v>
      </c>
      <c r="J53" t="s">
        <v>39</v>
      </c>
      <c r="K53" s="5">
        <v>44618</v>
      </c>
      <c r="L53" t="s">
        <v>324</v>
      </c>
      <c r="M53" s="5">
        <v>43875</v>
      </c>
      <c r="N53" s="5">
        <v>43881</v>
      </c>
      <c r="O53" t="s">
        <v>30</v>
      </c>
      <c r="P53" t="s">
        <v>110</v>
      </c>
      <c r="Q53" t="s">
        <v>325</v>
      </c>
      <c r="R53" t="s">
        <v>160</v>
      </c>
      <c r="S53">
        <v>5</v>
      </c>
      <c r="T53" s="6">
        <v>0.25</v>
      </c>
      <c r="U53" s="4">
        <v>4495.91</v>
      </c>
    </row>
    <row r="54" spans="1:21" x14ac:dyDescent="0.3">
      <c r="A54" t="s">
        <v>326</v>
      </c>
      <c r="B54" t="s">
        <v>95</v>
      </c>
      <c r="C54" t="s">
        <v>108</v>
      </c>
      <c r="D54" s="4">
        <v>14187.47</v>
      </c>
      <c r="E54">
        <v>2023</v>
      </c>
      <c r="F54" t="s">
        <v>67</v>
      </c>
      <c r="G54" t="s">
        <v>38</v>
      </c>
      <c r="H54" t="s">
        <v>59</v>
      </c>
      <c r="I54" t="s">
        <v>27</v>
      </c>
      <c r="J54" t="s">
        <v>28</v>
      </c>
      <c r="K54" s="5">
        <v>44211</v>
      </c>
      <c r="L54" t="s">
        <v>327</v>
      </c>
      <c r="M54" s="5">
        <v>43537</v>
      </c>
      <c r="N54" s="5">
        <v>43539</v>
      </c>
      <c r="O54" t="s">
        <v>41</v>
      </c>
      <c r="P54" t="s">
        <v>91</v>
      </c>
      <c r="Q54" t="s">
        <v>328</v>
      </c>
      <c r="R54" t="s">
        <v>86</v>
      </c>
      <c r="S54">
        <v>8</v>
      </c>
      <c r="T54" s="6">
        <v>0.17</v>
      </c>
      <c r="U54" s="4">
        <v>3102.02</v>
      </c>
    </row>
    <row r="55" spans="1:21" x14ac:dyDescent="0.3">
      <c r="A55" t="s">
        <v>329</v>
      </c>
      <c r="B55" t="s">
        <v>132</v>
      </c>
      <c r="C55" t="s">
        <v>330</v>
      </c>
      <c r="D55" s="4">
        <v>3119.4</v>
      </c>
      <c r="E55">
        <v>2019</v>
      </c>
      <c r="F55" t="s">
        <v>24</v>
      </c>
      <c r="G55" t="s">
        <v>38</v>
      </c>
      <c r="H55" t="s">
        <v>68</v>
      </c>
      <c r="I55" t="s">
        <v>69</v>
      </c>
      <c r="J55" t="s">
        <v>39</v>
      </c>
      <c r="K55" s="5">
        <v>44571</v>
      </c>
      <c r="L55" t="s">
        <v>331</v>
      </c>
      <c r="M55" s="5">
        <v>45097</v>
      </c>
      <c r="N55" s="5">
        <v>45100</v>
      </c>
      <c r="O55" t="s">
        <v>41</v>
      </c>
      <c r="P55" t="s">
        <v>91</v>
      </c>
      <c r="Q55" t="s">
        <v>332</v>
      </c>
      <c r="R55" t="s">
        <v>118</v>
      </c>
      <c r="S55">
        <v>9</v>
      </c>
      <c r="T55" s="6">
        <v>0.1</v>
      </c>
      <c r="U55" s="4">
        <v>399.27</v>
      </c>
    </row>
    <row r="56" spans="1:21" x14ac:dyDescent="0.3">
      <c r="A56" t="s">
        <v>333</v>
      </c>
      <c r="B56" t="s">
        <v>334</v>
      </c>
      <c r="C56" t="s">
        <v>335</v>
      </c>
      <c r="D56" s="4">
        <v>5552.12</v>
      </c>
      <c r="E56">
        <v>2022</v>
      </c>
      <c r="F56" t="s">
        <v>24</v>
      </c>
      <c r="G56" t="s">
        <v>25</v>
      </c>
      <c r="H56" t="s">
        <v>151</v>
      </c>
      <c r="I56" t="s">
        <v>69</v>
      </c>
      <c r="J56" t="s">
        <v>39</v>
      </c>
      <c r="K56" s="5">
        <v>43540</v>
      </c>
      <c r="L56" t="s">
        <v>336</v>
      </c>
      <c r="M56" s="5">
        <v>44111</v>
      </c>
      <c r="N56" s="5">
        <v>44112</v>
      </c>
      <c r="O56" t="s">
        <v>41</v>
      </c>
      <c r="P56" t="s">
        <v>91</v>
      </c>
      <c r="Q56" t="s">
        <v>337</v>
      </c>
      <c r="R56" t="s">
        <v>160</v>
      </c>
      <c r="S56">
        <v>1</v>
      </c>
      <c r="T56" s="6">
        <v>0.17</v>
      </c>
      <c r="U56" s="4">
        <v>601.64</v>
      </c>
    </row>
    <row r="57" spans="1:21" x14ac:dyDescent="0.3">
      <c r="A57" t="s">
        <v>338</v>
      </c>
      <c r="B57" t="s">
        <v>339</v>
      </c>
      <c r="C57" t="s">
        <v>340</v>
      </c>
      <c r="D57" s="4">
        <v>46089.88</v>
      </c>
      <c r="E57">
        <v>2022</v>
      </c>
      <c r="F57" t="s">
        <v>67</v>
      </c>
      <c r="G57" t="s">
        <v>48</v>
      </c>
      <c r="H57" t="s">
        <v>49</v>
      </c>
      <c r="I57" t="s">
        <v>27</v>
      </c>
      <c r="J57" t="s">
        <v>39</v>
      </c>
      <c r="K57" s="5">
        <v>45024</v>
      </c>
      <c r="L57" t="s">
        <v>341</v>
      </c>
      <c r="M57" s="5">
        <v>44642</v>
      </c>
      <c r="N57" s="5">
        <v>44648</v>
      </c>
      <c r="O57" t="s">
        <v>30</v>
      </c>
      <c r="P57" t="s">
        <v>129</v>
      </c>
      <c r="Q57" t="s">
        <v>342</v>
      </c>
      <c r="R57" t="s">
        <v>93</v>
      </c>
      <c r="S57">
        <v>3</v>
      </c>
      <c r="T57" s="6">
        <v>0.32</v>
      </c>
      <c r="U57" s="4">
        <v>3186.9</v>
      </c>
    </row>
    <row r="58" spans="1:21" x14ac:dyDescent="0.3">
      <c r="A58" t="s">
        <v>343</v>
      </c>
      <c r="B58" t="s">
        <v>344</v>
      </c>
      <c r="C58" t="s">
        <v>345</v>
      </c>
      <c r="D58" s="4">
        <v>41202.61</v>
      </c>
      <c r="E58">
        <v>2022</v>
      </c>
      <c r="F58" t="s">
        <v>37</v>
      </c>
      <c r="G58" t="s">
        <v>38</v>
      </c>
      <c r="H58" t="s">
        <v>59</v>
      </c>
      <c r="I58" t="s">
        <v>50</v>
      </c>
      <c r="J58" t="s">
        <v>28</v>
      </c>
      <c r="K58" s="5">
        <v>44421</v>
      </c>
      <c r="L58" t="s">
        <v>346</v>
      </c>
      <c r="M58" s="5">
        <v>44509</v>
      </c>
      <c r="N58" s="5">
        <v>44512</v>
      </c>
      <c r="O58" t="s">
        <v>30</v>
      </c>
      <c r="P58" t="s">
        <v>129</v>
      </c>
      <c r="Q58" t="s">
        <v>347</v>
      </c>
      <c r="R58" t="s">
        <v>177</v>
      </c>
      <c r="S58">
        <v>3</v>
      </c>
      <c r="T58" s="6">
        <v>0.38</v>
      </c>
      <c r="U58" s="4">
        <v>3039.9</v>
      </c>
    </row>
    <row r="59" spans="1:21" x14ac:dyDescent="0.3">
      <c r="A59" t="s">
        <v>348</v>
      </c>
      <c r="B59" t="s">
        <v>349</v>
      </c>
      <c r="C59" t="s">
        <v>350</v>
      </c>
      <c r="D59" s="4">
        <v>35606.550000000003</v>
      </c>
      <c r="E59">
        <v>2019</v>
      </c>
      <c r="F59" t="s">
        <v>67</v>
      </c>
      <c r="G59" t="s">
        <v>48</v>
      </c>
      <c r="H59" t="s">
        <v>49</v>
      </c>
      <c r="I59" t="s">
        <v>27</v>
      </c>
      <c r="J59" t="s">
        <v>28</v>
      </c>
      <c r="K59" s="5">
        <v>43827</v>
      </c>
      <c r="L59" t="s">
        <v>351</v>
      </c>
      <c r="M59" s="5">
        <v>43642</v>
      </c>
      <c r="N59" s="5">
        <v>43646</v>
      </c>
      <c r="O59" t="s">
        <v>41</v>
      </c>
      <c r="P59" t="s">
        <v>42</v>
      </c>
      <c r="Q59" t="s">
        <v>352</v>
      </c>
      <c r="R59" t="s">
        <v>93</v>
      </c>
      <c r="S59">
        <v>4</v>
      </c>
      <c r="T59" s="6">
        <v>0.42</v>
      </c>
      <c r="U59" s="4">
        <v>3162.47</v>
      </c>
    </row>
    <row r="60" spans="1:21" x14ac:dyDescent="0.3">
      <c r="A60" t="s">
        <v>353</v>
      </c>
      <c r="B60" t="s">
        <v>354</v>
      </c>
      <c r="C60" t="s">
        <v>355</v>
      </c>
      <c r="D60" s="4">
        <v>25717.31</v>
      </c>
      <c r="E60">
        <v>2020</v>
      </c>
      <c r="F60" t="s">
        <v>24</v>
      </c>
      <c r="G60" t="s">
        <v>48</v>
      </c>
      <c r="H60" t="s">
        <v>59</v>
      </c>
      <c r="I60" t="s">
        <v>83</v>
      </c>
      <c r="J60" t="s">
        <v>39</v>
      </c>
      <c r="K60" s="5">
        <v>44529</v>
      </c>
      <c r="L60" t="s">
        <v>356</v>
      </c>
      <c r="M60" s="5">
        <v>44320</v>
      </c>
      <c r="N60" s="5">
        <v>44326</v>
      </c>
      <c r="O60" t="s">
        <v>61</v>
      </c>
      <c r="P60" t="s">
        <v>31</v>
      </c>
      <c r="Q60" t="s">
        <v>357</v>
      </c>
      <c r="R60" t="s">
        <v>177</v>
      </c>
      <c r="S60">
        <v>7</v>
      </c>
      <c r="T60" s="6">
        <v>0.08</v>
      </c>
      <c r="U60" s="4">
        <v>4469.55</v>
      </c>
    </row>
    <row r="61" spans="1:21" x14ac:dyDescent="0.3">
      <c r="A61" t="s">
        <v>358</v>
      </c>
      <c r="B61" t="s">
        <v>200</v>
      </c>
      <c r="C61" t="s">
        <v>359</v>
      </c>
      <c r="D61" s="4">
        <v>18052.48</v>
      </c>
      <c r="E61">
        <v>2022</v>
      </c>
      <c r="F61" t="s">
        <v>37</v>
      </c>
      <c r="G61" t="s">
        <v>38</v>
      </c>
      <c r="H61" t="s">
        <v>59</v>
      </c>
      <c r="I61" t="s">
        <v>83</v>
      </c>
      <c r="J61" t="s">
        <v>39</v>
      </c>
      <c r="K61" s="5">
        <v>45216</v>
      </c>
      <c r="L61" t="s">
        <v>360</v>
      </c>
      <c r="M61" s="5">
        <v>44049</v>
      </c>
      <c r="N61" s="5">
        <v>44051</v>
      </c>
      <c r="O61" t="s">
        <v>61</v>
      </c>
      <c r="P61" t="s">
        <v>53</v>
      </c>
      <c r="Q61" t="s">
        <v>361</v>
      </c>
      <c r="R61" t="s">
        <v>63</v>
      </c>
      <c r="S61">
        <v>2</v>
      </c>
      <c r="T61" s="6">
        <v>0.35</v>
      </c>
      <c r="U61" s="4">
        <v>1386.25</v>
      </c>
    </row>
    <row r="62" spans="1:21" x14ac:dyDescent="0.3">
      <c r="A62" t="s">
        <v>362</v>
      </c>
      <c r="B62" t="s">
        <v>363</v>
      </c>
      <c r="C62" t="s">
        <v>364</v>
      </c>
      <c r="D62" s="4">
        <v>24074.86</v>
      </c>
      <c r="E62">
        <v>2023</v>
      </c>
      <c r="F62" t="s">
        <v>24</v>
      </c>
      <c r="G62" t="s">
        <v>25</v>
      </c>
      <c r="H62" t="s">
        <v>102</v>
      </c>
      <c r="I62" t="s">
        <v>83</v>
      </c>
      <c r="J62" t="s">
        <v>39</v>
      </c>
      <c r="K62" s="5">
        <v>44060</v>
      </c>
      <c r="L62" t="s">
        <v>365</v>
      </c>
      <c r="M62" s="5">
        <v>43678</v>
      </c>
      <c r="N62" s="5">
        <v>43679</v>
      </c>
      <c r="O62" t="s">
        <v>52</v>
      </c>
      <c r="P62" t="s">
        <v>31</v>
      </c>
      <c r="Q62" t="s">
        <v>366</v>
      </c>
      <c r="R62" t="s">
        <v>232</v>
      </c>
      <c r="S62">
        <v>1</v>
      </c>
      <c r="T62" s="6">
        <v>0.14000000000000001</v>
      </c>
      <c r="U62" s="4">
        <v>4149.3500000000004</v>
      </c>
    </row>
    <row r="63" spans="1:21" x14ac:dyDescent="0.3">
      <c r="A63" t="s">
        <v>367</v>
      </c>
      <c r="B63" t="s">
        <v>368</v>
      </c>
      <c r="C63" t="s">
        <v>369</v>
      </c>
      <c r="D63" s="4">
        <v>17103.72</v>
      </c>
      <c r="E63">
        <v>2021</v>
      </c>
      <c r="F63" t="s">
        <v>24</v>
      </c>
      <c r="G63" t="s">
        <v>25</v>
      </c>
      <c r="H63" t="s">
        <v>59</v>
      </c>
      <c r="I63" t="s">
        <v>27</v>
      </c>
      <c r="J63" t="s">
        <v>28</v>
      </c>
      <c r="K63" s="5">
        <v>44974</v>
      </c>
      <c r="L63" t="s">
        <v>370</v>
      </c>
      <c r="M63" s="5">
        <v>43963</v>
      </c>
      <c r="N63" s="5">
        <v>43970</v>
      </c>
      <c r="O63" t="s">
        <v>30</v>
      </c>
      <c r="P63" t="s">
        <v>53</v>
      </c>
      <c r="Q63" t="s">
        <v>371</v>
      </c>
      <c r="R63" t="s">
        <v>86</v>
      </c>
      <c r="S63">
        <v>10</v>
      </c>
      <c r="T63" s="6">
        <v>0.35</v>
      </c>
      <c r="U63" s="4">
        <v>1522.18</v>
      </c>
    </row>
    <row r="64" spans="1:21" x14ac:dyDescent="0.3">
      <c r="A64" t="s">
        <v>372</v>
      </c>
      <c r="B64" t="s">
        <v>373</v>
      </c>
      <c r="C64" t="s">
        <v>374</v>
      </c>
      <c r="D64" s="4">
        <v>33223</v>
      </c>
      <c r="E64">
        <v>2021</v>
      </c>
      <c r="F64" t="s">
        <v>24</v>
      </c>
      <c r="G64" t="s">
        <v>25</v>
      </c>
      <c r="H64" t="s">
        <v>68</v>
      </c>
      <c r="I64" t="s">
        <v>50</v>
      </c>
      <c r="J64" t="s">
        <v>39</v>
      </c>
      <c r="K64" s="5">
        <v>44568</v>
      </c>
      <c r="L64" t="s">
        <v>375</v>
      </c>
      <c r="M64" s="5">
        <v>45122</v>
      </c>
      <c r="N64" s="5">
        <v>45124</v>
      </c>
      <c r="O64" t="s">
        <v>41</v>
      </c>
      <c r="P64" t="s">
        <v>31</v>
      </c>
      <c r="Q64" t="s">
        <v>376</v>
      </c>
      <c r="R64" t="s">
        <v>118</v>
      </c>
      <c r="S64">
        <v>2</v>
      </c>
      <c r="T64" s="6">
        <v>0.47</v>
      </c>
      <c r="U64" s="4">
        <v>4928.08</v>
      </c>
    </row>
    <row r="65" spans="1:21" x14ac:dyDescent="0.3">
      <c r="A65" t="s">
        <v>377</v>
      </c>
      <c r="B65" t="s">
        <v>373</v>
      </c>
      <c r="C65" t="s">
        <v>114</v>
      </c>
      <c r="D65" s="4">
        <v>5549.65</v>
      </c>
      <c r="E65">
        <v>2021</v>
      </c>
      <c r="F65" t="s">
        <v>24</v>
      </c>
      <c r="G65" t="s">
        <v>48</v>
      </c>
      <c r="H65" t="s">
        <v>49</v>
      </c>
      <c r="I65" t="s">
        <v>50</v>
      </c>
      <c r="J65" t="s">
        <v>28</v>
      </c>
      <c r="K65" s="5">
        <v>45255</v>
      </c>
      <c r="L65" t="s">
        <v>378</v>
      </c>
      <c r="M65" s="5">
        <v>43991</v>
      </c>
      <c r="N65" s="5">
        <v>43995</v>
      </c>
      <c r="O65" t="s">
        <v>61</v>
      </c>
      <c r="P65" t="s">
        <v>116</v>
      </c>
      <c r="Q65" t="s">
        <v>379</v>
      </c>
      <c r="R65" t="s">
        <v>380</v>
      </c>
      <c r="S65">
        <v>3</v>
      </c>
      <c r="T65" s="6">
        <v>0.28999999999999998</v>
      </c>
      <c r="U65" s="4">
        <v>563.05999999999995</v>
      </c>
    </row>
    <row r="66" spans="1:21" x14ac:dyDescent="0.3">
      <c r="A66" t="s">
        <v>381</v>
      </c>
      <c r="B66" t="s">
        <v>382</v>
      </c>
      <c r="C66" t="s">
        <v>383</v>
      </c>
      <c r="D66" s="4">
        <v>1941.21</v>
      </c>
      <c r="E66">
        <v>2023</v>
      </c>
      <c r="F66" t="s">
        <v>37</v>
      </c>
      <c r="G66" t="s">
        <v>48</v>
      </c>
      <c r="H66" t="s">
        <v>102</v>
      </c>
      <c r="I66" t="s">
        <v>69</v>
      </c>
      <c r="J66" t="s">
        <v>28</v>
      </c>
      <c r="K66" s="5">
        <v>44443</v>
      </c>
      <c r="L66" t="s">
        <v>384</v>
      </c>
      <c r="M66" s="5">
        <v>44670</v>
      </c>
      <c r="N66" s="5">
        <v>44674</v>
      </c>
      <c r="O66" t="s">
        <v>61</v>
      </c>
      <c r="P66" t="s">
        <v>42</v>
      </c>
      <c r="Q66" t="s">
        <v>385</v>
      </c>
      <c r="R66" t="s">
        <v>386</v>
      </c>
      <c r="S66">
        <v>7</v>
      </c>
      <c r="T66" s="6">
        <v>0.24</v>
      </c>
      <c r="U66" s="4">
        <v>303.42</v>
      </c>
    </row>
    <row r="67" spans="1:21" x14ac:dyDescent="0.3">
      <c r="A67" t="s">
        <v>387</v>
      </c>
      <c r="B67" t="s">
        <v>388</v>
      </c>
      <c r="C67" t="s">
        <v>383</v>
      </c>
      <c r="D67" s="4">
        <v>5961.75</v>
      </c>
      <c r="E67">
        <v>2022</v>
      </c>
      <c r="F67" t="s">
        <v>24</v>
      </c>
      <c r="G67" t="s">
        <v>38</v>
      </c>
      <c r="H67" t="s">
        <v>151</v>
      </c>
      <c r="I67" t="s">
        <v>83</v>
      </c>
      <c r="J67" t="s">
        <v>28</v>
      </c>
      <c r="K67" s="5">
        <v>43761</v>
      </c>
      <c r="L67" t="s">
        <v>389</v>
      </c>
      <c r="M67" s="5">
        <v>44034</v>
      </c>
      <c r="N67" s="5">
        <v>44035</v>
      </c>
      <c r="O67" t="s">
        <v>30</v>
      </c>
      <c r="P67" t="s">
        <v>146</v>
      </c>
      <c r="Q67" t="s">
        <v>390</v>
      </c>
      <c r="R67" t="s">
        <v>165</v>
      </c>
      <c r="S67">
        <v>10</v>
      </c>
      <c r="T67" s="6">
        <v>0.47</v>
      </c>
      <c r="U67" s="4">
        <v>403.06</v>
      </c>
    </row>
    <row r="68" spans="1:21" x14ac:dyDescent="0.3">
      <c r="A68" t="s">
        <v>391</v>
      </c>
      <c r="B68" t="s">
        <v>156</v>
      </c>
      <c r="C68" t="s">
        <v>392</v>
      </c>
      <c r="D68" s="4">
        <v>15033.44</v>
      </c>
      <c r="E68">
        <v>2022</v>
      </c>
      <c r="F68" t="s">
        <v>24</v>
      </c>
      <c r="G68" t="s">
        <v>48</v>
      </c>
      <c r="H68" t="s">
        <v>49</v>
      </c>
      <c r="I68" t="s">
        <v>69</v>
      </c>
      <c r="J68" t="s">
        <v>39</v>
      </c>
      <c r="K68" s="5">
        <v>43718</v>
      </c>
      <c r="L68" t="s">
        <v>393</v>
      </c>
      <c r="M68" s="5">
        <v>43470</v>
      </c>
      <c r="N68" s="5">
        <v>43475</v>
      </c>
      <c r="O68" t="s">
        <v>61</v>
      </c>
      <c r="P68" t="s">
        <v>116</v>
      </c>
      <c r="Q68" t="s">
        <v>394</v>
      </c>
      <c r="R68" t="s">
        <v>55</v>
      </c>
      <c r="S68">
        <v>3</v>
      </c>
      <c r="T68" s="6">
        <v>0.15</v>
      </c>
      <c r="U68" s="4">
        <v>2058.14</v>
      </c>
    </row>
    <row r="69" spans="1:21" x14ac:dyDescent="0.3">
      <c r="A69" t="s">
        <v>395</v>
      </c>
      <c r="B69" t="s">
        <v>396</v>
      </c>
      <c r="C69" t="s">
        <v>397</v>
      </c>
      <c r="D69" s="4">
        <v>21552.93</v>
      </c>
      <c r="E69">
        <v>2022</v>
      </c>
      <c r="F69" t="s">
        <v>37</v>
      </c>
      <c r="G69" t="s">
        <v>48</v>
      </c>
      <c r="H69" t="s">
        <v>49</v>
      </c>
      <c r="I69" t="s">
        <v>27</v>
      </c>
      <c r="J69" t="s">
        <v>28</v>
      </c>
      <c r="K69" s="5">
        <v>44804</v>
      </c>
      <c r="L69" t="s">
        <v>398</v>
      </c>
      <c r="M69" s="5">
        <v>44446</v>
      </c>
      <c r="N69" s="5">
        <v>44453</v>
      </c>
      <c r="O69" t="s">
        <v>52</v>
      </c>
      <c r="P69" t="s">
        <v>110</v>
      </c>
      <c r="Q69" t="s">
        <v>399</v>
      </c>
      <c r="R69" t="s">
        <v>55</v>
      </c>
      <c r="S69">
        <v>5</v>
      </c>
      <c r="T69" s="6">
        <v>0.37</v>
      </c>
      <c r="U69" s="4">
        <v>1492.29</v>
      </c>
    </row>
    <row r="70" spans="1:21" x14ac:dyDescent="0.3">
      <c r="A70" t="s">
        <v>400</v>
      </c>
      <c r="B70" t="s">
        <v>401</v>
      </c>
      <c r="C70" t="s">
        <v>402</v>
      </c>
      <c r="D70" s="4">
        <v>4878.1499999999996</v>
      </c>
      <c r="E70">
        <v>2021</v>
      </c>
      <c r="F70" t="s">
        <v>37</v>
      </c>
      <c r="G70" t="s">
        <v>38</v>
      </c>
      <c r="H70" t="s">
        <v>59</v>
      </c>
      <c r="I70" t="s">
        <v>83</v>
      </c>
      <c r="J70" t="s">
        <v>39</v>
      </c>
      <c r="K70" s="5">
        <v>45276</v>
      </c>
      <c r="L70" t="s">
        <v>403</v>
      </c>
      <c r="M70" s="5">
        <v>45047</v>
      </c>
      <c r="N70" s="5">
        <v>45054</v>
      </c>
      <c r="O70" t="s">
        <v>61</v>
      </c>
      <c r="P70" t="s">
        <v>110</v>
      </c>
      <c r="Q70" t="s">
        <v>404</v>
      </c>
      <c r="R70" t="s">
        <v>177</v>
      </c>
      <c r="S70">
        <v>7</v>
      </c>
      <c r="T70" s="6">
        <v>0.31</v>
      </c>
      <c r="U70" s="4">
        <v>468.53</v>
      </c>
    </row>
    <row r="71" spans="1:21" x14ac:dyDescent="0.3">
      <c r="A71" t="s">
        <v>405</v>
      </c>
      <c r="B71" t="s">
        <v>406</v>
      </c>
      <c r="C71" t="s">
        <v>407</v>
      </c>
      <c r="D71" s="4">
        <v>46801.69</v>
      </c>
      <c r="E71">
        <v>2020</v>
      </c>
      <c r="F71" t="s">
        <v>37</v>
      </c>
      <c r="G71" t="s">
        <v>38</v>
      </c>
      <c r="H71" t="s">
        <v>59</v>
      </c>
      <c r="I71" t="s">
        <v>27</v>
      </c>
      <c r="J71" t="s">
        <v>39</v>
      </c>
      <c r="K71" s="5">
        <v>43707</v>
      </c>
      <c r="L71" t="s">
        <v>408</v>
      </c>
      <c r="M71" s="5">
        <v>44719</v>
      </c>
      <c r="N71" s="5">
        <v>44722</v>
      </c>
      <c r="O71" t="s">
        <v>30</v>
      </c>
      <c r="P71" t="s">
        <v>129</v>
      </c>
      <c r="Q71" t="s">
        <v>409</v>
      </c>
      <c r="R71" t="s">
        <v>63</v>
      </c>
      <c r="S71">
        <v>10</v>
      </c>
      <c r="T71" s="6">
        <v>0.45</v>
      </c>
      <c r="U71" s="4">
        <v>6319.46</v>
      </c>
    </row>
    <row r="72" spans="1:21" x14ac:dyDescent="0.3">
      <c r="A72" t="s">
        <v>410</v>
      </c>
      <c r="B72" t="s">
        <v>411</v>
      </c>
      <c r="C72" t="s">
        <v>412</v>
      </c>
      <c r="D72" s="4">
        <v>22971.7</v>
      </c>
      <c r="E72">
        <v>2019</v>
      </c>
      <c r="F72" t="s">
        <v>67</v>
      </c>
      <c r="G72" t="s">
        <v>48</v>
      </c>
      <c r="H72" t="s">
        <v>26</v>
      </c>
      <c r="I72" t="s">
        <v>83</v>
      </c>
      <c r="J72" t="s">
        <v>39</v>
      </c>
      <c r="K72" s="5">
        <v>44974</v>
      </c>
      <c r="L72" t="s">
        <v>413</v>
      </c>
      <c r="M72" s="5">
        <v>45144</v>
      </c>
      <c r="N72" s="5">
        <v>45146</v>
      </c>
      <c r="O72" t="s">
        <v>52</v>
      </c>
      <c r="P72" t="s">
        <v>116</v>
      </c>
      <c r="Q72" t="s">
        <v>414</v>
      </c>
      <c r="R72" t="s">
        <v>141</v>
      </c>
      <c r="S72">
        <v>1</v>
      </c>
      <c r="T72" s="6">
        <v>0.28999999999999998</v>
      </c>
      <c r="U72" s="4">
        <v>3182.37</v>
      </c>
    </row>
    <row r="73" spans="1:21" x14ac:dyDescent="0.3">
      <c r="A73" t="s">
        <v>415</v>
      </c>
      <c r="B73" t="s">
        <v>416</v>
      </c>
      <c r="C73" t="s">
        <v>417</v>
      </c>
      <c r="D73" s="4">
        <v>49342.22</v>
      </c>
      <c r="E73">
        <v>2021</v>
      </c>
      <c r="F73" t="s">
        <v>37</v>
      </c>
      <c r="G73" t="s">
        <v>25</v>
      </c>
      <c r="H73" t="s">
        <v>68</v>
      </c>
      <c r="I73" t="s">
        <v>69</v>
      </c>
      <c r="J73" t="s">
        <v>39</v>
      </c>
      <c r="K73" s="5">
        <v>43961</v>
      </c>
      <c r="L73" t="s">
        <v>418</v>
      </c>
      <c r="M73" s="5">
        <v>44337</v>
      </c>
      <c r="N73" s="5">
        <v>44342</v>
      </c>
      <c r="O73" t="s">
        <v>41</v>
      </c>
      <c r="P73" t="s">
        <v>146</v>
      </c>
      <c r="Q73" t="s">
        <v>419</v>
      </c>
      <c r="R73" t="s">
        <v>73</v>
      </c>
      <c r="S73">
        <v>10</v>
      </c>
      <c r="T73" s="6">
        <v>0.28999999999999998</v>
      </c>
      <c r="U73" s="4">
        <v>7270.12</v>
      </c>
    </row>
    <row r="74" spans="1:21" x14ac:dyDescent="0.3">
      <c r="A74" t="s">
        <v>420</v>
      </c>
      <c r="B74" t="s">
        <v>421</v>
      </c>
      <c r="C74" t="s">
        <v>422</v>
      </c>
      <c r="D74" s="4">
        <v>4357.8500000000004</v>
      </c>
      <c r="E74">
        <v>2019</v>
      </c>
      <c r="F74" t="s">
        <v>24</v>
      </c>
      <c r="G74" t="s">
        <v>38</v>
      </c>
      <c r="H74" t="s">
        <v>26</v>
      </c>
      <c r="I74" t="s">
        <v>50</v>
      </c>
      <c r="J74" t="s">
        <v>39</v>
      </c>
      <c r="K74" s="5">
        <v>44733</v>
      </c>
      <c r="L74" t="s">
        <v>423</v>
      </c>
      <c r="M74" s="5">
        <v>44573</v>
      </c>
      <c r="N74" s="5">
        <v>44574</v>
      </c>
      <c r="O74" t="s">
        <v>41</v>
      </c>
      <c r="P74" t="s">
        <v>129</v>
      </c>
      <c r="Q74" t="s">
        <v>424</v>
      </c>
      <c r="R74" t="s">
        <v>44</v>
      </c>
      <c r="S74">
        <v>4</v>
      </c>
      <c r="T74" s="6">
        <v>0.38</v>
      </c>
      <c r="U74" s="4">
        <v>299.27999999999997</v>
      </c>
    </row>
    <row r="75" spans="1:21" x14ac:dyDescent="0.3">
      <c r="A75" t="s">
        <v>425</v>
      </c>
      <c r="B75" t="s">
        <v>426</v>
      </c>
      <c r="C75" t="s">
        <v>427</v>
      </c>
      <c r="D75" s="4">
        <v>37866.050000000003</v>
      </c>
      <c r="E75">
        <v>2021</v>
      </c>
      <c r="F75" t="s">
        <v>67</v>
      </c>
      <c r="G75" t="s">
        <v>25</v>
      </c>
      <c r="H75" t="s">
        <v>49</v>
      </c>
      <c r="I75" t="s">
        <v>69</v>
      </c>
      <c r="J75" t="s">
        <v>39</v>
      </c>
      <c r="K75" s="5">
        <v>45088</v>
      </c>
      <c r="L75" t="s">
        <v>428</v>
      </c>
      <c r="M75" s="5">
        <v>45250</v>
      </c>
      <c r="N75" s="5">
        <v>45253</v>
      </c>
      <c r="O75" t="s">
        <v>30</v>
      </c>
      <c r="P75" t="s">
        <v>146</v>
      </c>
      <c r="Q75" t="s">
        <v>429</v>
      </c>
      <c r="R75" t="s">
        <v>55</v>
      </c>
      <c r="S75">
        <v>1</v>
      </c>
      <c r="T75" s="6">
        <v>7.0000000000000007E-2</v>
      </c>
      <c r="U75" s="4">
        <v>9406.68</v>
      </c>
    </row>
    <row r="76" spans="1:21" x14ac:dyDescent="0.3">
      <c r="A76" t="s">
        <v>430</v>
      </c>
      <c r="B76" t="s">
        <v>431</v>
      </c>
      <c r="C76" t="s">
        <v>432</v>
      </c>
      <c r="D76" s="4">
        <v>10613.65</v>
      </c>
      <c r="E76">
        <v>2021</v>
      </c>
      <c r="F76" t="s">
        <v>24</v>
      </c>
      <c r="G76" t="s">
        <v>38</v>
      </c>
      <c r="H76" t="s">
        <v>26</v>
      </c>
      <c r="I76" t="s">
        <v>50</v>
      </c>
      <c r="J76" t="s">
        <v>28</v>
      </c>
      <c r="K76" s="5">
        <v>44335</v>
      </c>
      <c r="L76" t="s">
        <v>433</v>
      </c>
      <c r="M76" s="5">
        <v>44828</v>
      </c>
      <c r="N76" s="5">
        <v>44834</v>
      </c>
      <c r="O76" t="s">
        <v>61</v>
      </c>
      <c r="P76" t="s">
        <v>78</v>
      </c>
      <c r="Q76" t="s">
        <v>434</v>
      </c>
      <c r="R76" t="s">
        <v>141</v>
      </c>
      <c r="S76">
        <v>6</v>
      </c>
      <c r="T76" s="6">
        <v>0.04</v>
      </c>
      <c r="U76" s="4">
        <v>2632.64</v>
      </c>
    </row>
    <row r="77" spans="1:21" x14ac:dyDescent="0.3">
      <c r="A77" t="s">
        <v>435</v>
      </c>
      <c r="B77" t="s">
        <v>436</v>
      </c>
      <c r="C77" t="s">
        <v>437</v>
      </c>
      <c r="D77" s="4">
        <v>34132.43</v>
      </c>
      <c r="E77">
        <v>2022</v>
      </c>
      <c r="F77" t="s">
        <v>67</v>
      </c>
      <c r="G77" t="s">
        <v>25</v>
      </c>
      <c r="H77" t="s">
        <v>49</v>
      </c>
      <c r="I77" t="s">
        <v>69</v>
      </c>
      <c r="J77" t="s">
        <v>39</v>
      </c>
      <c r="K77" s="5">
        <v>44251</v>
      </c>
      <c r="L77" t="s">
        <v>438</v>
      </c>
      <c r="M77" s="5">
        <v>44544</v>
      </c>
      <c r="N77" s="5">
        <v>44551</v>
      </c>
      <c r="O77" t="s">
        <v>30</v>
      </c>
      <c r="P77" t="s">
        <v>116</v>
      </c>
      <c r="Q77" t="s">
        <v>439</v>
      </c>
      <c r="R77" t="s">
        <v>55</v>
      </c>
      <c r="S77">
        <v>6</v>
      </c>
      <c r="T77" s="6">
        <v>0.04</v>
      </c>
      <c r="U77" s="4">
        <v>8067.39</v>
      </c>
    </row>
    <row r="78" spans="1:21" x14ac:dyDescent="0.3">
      <c r="A78" t="s">
        <v>440</v>
      </c>
      <c r="B78" t="s">
        <v>441</v>
      </c>
      <c r="C78" t="s">
        <v>309</v>
      </c>
      <c r="D78" s="4">
        <v>32935.9</v>
      </c>
      <c r="E78">
        <v>2021</v>
      </c>
      <c r="F78" t="s">
        <v>37</v>
      </c>
      <c r="G78" t="s">
        <v>48</v>
      </c>
      <c r="H78" t="s">
        <v>59</v>
      </c>
      <c r="I78" t="s">
        <v>69</v>
      </c>
      <c r="J78" t="s">
        <v>28</v>
      </c>
      <c r="K78" s="5">
        <v>43903</v>
      </c>
      <c r="L78" t="s">
        <v>442</v>
      </c>
      <c r="M78" s="5">
        <v>44935</v>
      </c>
      <c r="N78" s="5">
        <v>44938</v>
      </c>
      <c r="O78" t="s">
        <v>41</v>
      </c>
      <c r="P78" t="s">
        <v>91</v>
      </c>
      <c r="Q78" t="s">
        <v>443</v>
      </c>
      <c r="R78" t="s">
        <v>306</v>
      </c>
      <c r="S78">
        <v>8</v>
      </c>
      <c r="T78" s="6">
        <v>0.38</v>
      </c>
      <c r="U78" s="4">
        <v>5988.54</v>
      </c>
    </row>
    <row r="79" spans="1:21" x14ac:dyDescent="0.3">
      <c r="A79" t="s">
        <v>444</v>
      </c>
      <c r="B79" t="s">
        <v>445</v>
      </c>
      <c r="C79" t="s">
        <v>446</v>
      </c>
      <c r="D79" s="4">
        <v>22501.5</v>
      </c>
      <c r="E79">
        <v>2020</v>
      </c>
      <c r="F79" t="s">
        <v>67</v>
      </c>
      <c r="G79" t="s">
        <v>38</v>
      </c>
      <c r="H79" t="s">
        <v>26</v>
      </c>
      <c r="I79" t="s">
        <v>69</v>
      </c>
      <c r="J79" t="s">
        <v>39</v>
      </c>
      <c r="K79" s="5">
        <v>44635</v>
      </c>
      <c r="L79" t="s">
        <v>447</v>
      </c>
      <c r="M79" s="5">
        <v>44541</v>
      </c>
      <c r="N79" s="5">
        <v>44544</v>
      </c>
      <c r="O79" t="s">
        <v>61</v>
      </c>
      <c r="P79" t="s">
        <v>110</v>
      </c>
      <c r="Q79" t="s">
        <v>448</v>
      </c>
      <c r="R79" t="s">
        <v>44</v>
      </c>
      <c r="S79">
        <v>9</v>
      </c>
      <c r="T79" s="6">
        <v>0.49</v>
      </c>
      <c r="U79" s="4">
        <v>2189.44</v>
      </c>
    </row>
    <row r="80" spans="1:21" x14ac:dyDescent="0.3">
      <c r="A80" t="s">
        <v>449</v>
      </c>
      <c r="B80" t="s">
        <v>450</v>
      </c>
      <c r="C80" t="s">
        <v>133</v>
      </c>
      <c r="D80" s="4">
        <v>4064.52</v>
      </c>
      <c r="E80">
        <v>2021</v>
      </c>
      <c r="F80" t="s">
        <v>24</v>
      </c>
      <c r="G80" t="s">
        <v>25</v>
      </c>
      <c r="H80" t="s">
        <v>59</v>
      </c>
      <c r="I80" t="s">
        <v>69</v>
      </c>
      <c r="J80" t="s">
        <v>39</v>
      </c>
      <c r="K80" s="5">
        <v>43673</v>
      </c>
      <c r="L80" t="s">
        <v>451</v>
      </c>
      <c r="M80" s="5">
        <v>43633</v>
      </c>
      <c r="N80" s="5">
        <v>43640</v>
      </c>
      <c r="O80" t="s">
        <v>41</v>
      </c>
      <c r="P80" t="s">
        <v>78</v>
      </c>
      <c r="Q80" t="s">
        <v>452</v>
      </c>
      <c r="R80" t="s">
        <v>177</v>
      </c>
      <c r="S80">
        <v>10</v>
      </c>
      <c r="T80" s="6">
        <v>0.31</v>
      </c>
      <c r="U80" s="4">
        <v>369.06</v>
      </c>
    </row>
    <row r="81" spans="1:21" x14ac:dyDescent="0.3">
      <c r="A81" t="s">
        <v>453</v>
      </c>
      <c r="B81" t="s">
        <v>344</v>
      </c>
      <c r="C81" t="s">
        <v>454</v>
      </c>
      <c r="D81" s="4">
        <v>19218.16</v>
      </c>
      <c r="E81">
        <v>2019</v>
      </c>
      <c r="F81" t="s">
        <v>67</v>
      </c>
      <c r="G81" t="s">
        <v>38</v>
      </c>
      <c r="H81" t="s">
        <v>102</v>
      </c>
      <c r="I81" t="s">
        <v>83</v>
      </c>
      <c r="J81" t="s">
        <v>39</v>
      </c>
      <c r="K81" s="5">
        <v>43634</v>
      </c>
      <c r="L81" t="s">
        <v>455</v>
      </c>
      <c r="M81" s="5">
        <v>44003</v>
      </c>
      <c r="N81" s="5">
        <v>44009</v>
      </c>
      <c r="O81" t="s">
        <v>52</v>
      </c>
      <c r="P81" t="s">
        <v>129</v>
      </c>
      <c r="Q81" t="s">
        <v>456</v>
      </c>
      <c r="R81" t="s">
        <v>232</v>
      </c>
      <c r="S81">
        <v>3</v>
      </c>
      <c r="T81" s="6">
        <v>0.22</v>
      </c>
      <c r="U81" s="4">
        <v>2588.25</v>
      </c>
    </row>
    <row r="82" spans="1:21" x14ac:dyDescent="0.3">
      <c r="A82" t="s">
        <v>457</v>
      </c>
      <c r="B82" t="s">
        <v>458</v>
      </c>
      <c r="C82" t="s">
        <v>459</v>
      </c>
      <c r="D82" s="4">
        <v>21489.08</v>
      </c>
      <c r="E82">
        <v>2020</v>
      </c>
      <c r="F82" t="s">
        <v>24</v>
      </c>
      <c r="G82" t="s">
        <v>38</v>
      </c>
      <c r="H82" t="s">
        <v>59</v>
      </c>
      <c r="I82" t="s">
        <v>83</v>
      </c>
      <c r="J82" t="s">
        <v>39</v>
      </c>
      <c r="K82" s="5">
        <v>45174</v>
      </c>
      <c r="L82" t="s">
        <v>460</v>
      </c>
      <c r="M82" s="5">
        <v>44346</v>
      </c>
      <c r="N82" s="5">
        <v>44351</v>
      </c>
      <c r="O82" t="s">
        <v>61</v>
      </c>
      <c r="P82" t="s">
        <v>31</v>
      </c>
      <c r="Q82" t="s">
        <v>461</v>
      </c>
      <c r="R82" t="s">
        <v>86</v>
      </c>
      <c r="S82">
        <v>2</v>
      </c>
      <c r="T82" s="6">
        <v>0.25</v>
      </c>
      <c r="U82" s="4">
        <v>2286.15</v>
      </c>
    </row>
    <row r="83" spans="1:21" x14ac:dyDescent="0.3">
      <c r="A83" t="s">
        <v>462</v>
      </c>
      <c r="B83" t="s">
        <v>463</v>
      </c>
      <c r="C83" t="s">
        <v>464</v>
      </c>
      <c r="D83" s="4">
        <v>2183.3000000000002</v>
      </c>
      <c r="E83">
        <v>2022</v>
      </c>
      <c r="F83" t="s">
        <v>24</v>
      </c>
      <c r="G83" t="s">
        <v>48</v>
      </c>
      <c r="H83" t="s">
        <v>49</v>
      </c>
      <c r="I83" t="s">
        <v>27</v>
      </c>
      <c r="J83" t="s">
        <v>28</v>
      </c>
      <c r="K83" s="5">
        <v>44896</v>
      </c>
      <c r="L83" t="s">
        <v>465</v>
      </c>
      <c r="M83" s="5">
        <v>44897</v>
      </c>
      <c r="N83" s="5">
        <v>44904</v>
      </c>
      <c r="O83" t="s">
        <v>52</v>
      </c>
      <c r="P83" t="s">
        <v>53</v>
      </c>
      <c r="Q83" t="s">
        <v>466</v>
      </c>
      <c r="R83" t="s">
        <v>380</v>
      </c>
      <c r="S83">
        <v>3</v>
      </c>
      <c r="T83" s="6">
        <v>0.49</v>
      </c>
      <c r="U83" s="4">
        <v>205.17</v>
      </c>
    </row>
    <row r="84" spans="1:21" x14ac:dyDescent="0.3">
      <c r="A84" t="s">
        <v>467</v>
      </c>
      <c r="B84" t="s">
        <v>344</v>
      </c>
      <c r="C84" t="s">
        <v>468</v>
      </c>
      <c r="D84" s="4">
        <v>4252.58</v>
      </c>
      <c r="E84">
        <v>2020</v>
      </c>
      <c r="F84" t="s">
        <v>24</v>
      </c>
      <c r="G84" t="s">
        <v>25</v>
      </c>
      <c r="H84" t="s">
        <v>26</v>
      </c>
      <c r="I84" t="s">
        <v>69</v>
      </c>
      <c r="J84" t="s">
        <v>39</v>
      </c>
      <c r="K84" s="5">
        <v>44917</v>
      </c>
      <c r="L84" t="s">
        <v>469</v>
      </c>
      <c r="M84" s="5">
        <v>44941</v>
      </c>
      <c r="N84" s="5">
        <v>44947</v>
      </c>
      <c r="O84" t="s">
        <v>41</v>
      </c>
      <c r="P84" t="s">
        <v>42</v>
      </c>
      <c r="Q84" t="s">
        <v>470</v>
      </c>
      <c r="R84" t="s">
        <v>33</v>
      </c>
      <c r="S84">
        <v>2</v>
      </c>
      <c r="T84" s="6">
        <v>0.04</v>
      </c>
      <c r="U84" s="4">
        <v>830.09</v>
      </c>
    </row>
    <row r="85" spans="1:21" x14ac:dyDescent="0.3">
      <c r="A85" t="s">
        <v>471</v>
      </c>
      <c r="B85" t="s">
        <v>132</v>
      </c>
      <c r="C85" t="s">
        <v>472</v>
      </c>
      <c r="D85" s="4">
        <v>12502.21</v>
      </c>
      <c r="E85">
        <v>2021</v>
      </c>
      <c r="F85" t="s">
        <v>24</v>
      </c>
      <c r="G85" t="s">
        <v>38</v>
      </c>
      <c r="H85" t="s">
        <v>49</v>
      </c>
      <c r="I85" t="s">
        <v>50</v>
      </c>
      <c r="J85" t="s">
        <v>28</v>
      </c>
      <c r="K85" s="5">
        <v>43589</v>
      </c>
      <c r="L85" t="s">
        <v>473</v>
      </c>
      <c r="M85" s="5">
        <v>43905</v>
      </c>
      <c r="N85" s="5">
        <v>43908</v>
      </c>
      <c r="O85" t="s">
        <v>41</v>
      </c>
      <c r="P85" t="s">
        <v>71</v>
      </c>
      <c r="Q85" t="s">
        <v>474</v>
      </c>
      <c r="R85" t="s">
        <v>295</v>
      </c>
      <c r="S85">
        <v>10</v>
      </c>
      <c r="T85" s="6">
        <v>0.49</v>
      </c>
      <c r="U85" s="4">
        <v>1738.42</v>
      </c>
    </row>
    <row r="86" spans="1:21" x14ac:dyDescent="0.3">
      <c r="A86" t="s">
        <v>475</v>
      </c>
      <c r="B86" t="s">
        <v>476</v>
      </c>
      <c r="C86" t="s">
        <v>477</v>
      </c>
      <c r="D86" s="4">
        <v>44441.84</v>
      </c>
      <c r="E86">
        <v>2020</v>
      </c>
      <c r="F86" t="s">
        <v>37</v>
      </c>
      <c r="G86" t="s">
        <v>38</v>
      </c>
      <c r="H86" t="s">
        <v>151</v>
      </c>
      <c r="I86" t="s">
        <v>27</v>
      </c>
      <c r="J86" t="s">
        <v>28</v>
      </c>
      <c r="K86" s="5">
        <v>43669</v>
      </c>
      <c r="L86" t="s">
        <v>478</v>
      </c>
      <c r="M86" s="5">
        <v>43516</v>
      </c>
      <c r="N86" s="5">
        <v>43520</v>
      </c>
      <c r="O86" t="s">
        <v>41</v>
      </c>
      <c r="P86" t="s">
        <v>146</v>
      </c>
      <c r="Q86" t="s">
        <v>479</v>
      </c>
      <c r="R86" t="s">
        <v>165</v>
      </c>
      <c r="S86">
        <v>5</v>
      </c>
      <c r="T86" s="6">
        <v>0.5</v>
      </c>
      <c r="U86" s="4">
        <v>4751.1099999999997</v>
      </c>
    </row>
    <row r="87" spans="1:21" x14ac:dyDescent="0.3">
      <c r="A87" t="s">
        <v>480</v>
      </c>
      <c r="B87" t="s">
        <v>481</v>
      </c>
      <c r="C87" t="s">
        <v>244</v>
      </c>
      <c r="D87" s="4">
        <v>2951.07</v>
      </c>
      <c r="E87">
        <v>2021</v>
      </c>
      <c r="F87" t="s">
        <v>67</v>
      </c>
      <c r="G87" t="s">
        <v>48</v>
      </c>
      <c r="H87" t="s">
        <v>59</v>
      </c>
      <c r="I87" t="s">
        <v>27</v>
      </c>
      <c r="J87" t="s">
        <v>39</v>
      </c>
      <c r="K87" s="5">
        <v>44341</v>
      </c>
      <c r="L87" t="s">
        <v>482</v>
      </c>
      <c r="M87" s="5">
        <v>44429</v>
      </c>
      <c r="N87" s="5">
        <v>44435</v>
      </c>
      <c r="O87" t="s">
        <v>41</v>
      </c>
      <c r="P87" t="s">
        <v>110</v>
      </c>
      <c r="Q87" t="s">
        <v>483</v>
      </c>
      <c r="R87" t="s">
        <v>86</v>
      </c>
      <c r="S87">
        <v>8</v>
      </c>
      <c r="T87" s="6">
        <v>0.37</v>
      </c>
      <c r="U87" s="4">
        <v>504.53</v>
      </c>
    </row>
    <row r="88" spans="1:21" x14ac:dyDescent="0.3">
      <c r="A88" t="s">
        <v>484</v>
      </c>
      <c r="B88" t="s">
        <v>485</v>
      </c>
      <c r="C88" t="s">
        <v>486</v>
      </c>
      <c r="D88" s="4">
        <v>33732.85</v>
      </c>
      <c r="E88">
        <v>2023</v>
      </c>
      <c r="F88" t="s">
        <v>67</v>
      </c>
      <c r="G88" t="s">
        <v>25</v>
      </c>
      <c r="H88" t="s">
        <v>59</v>
      </c>
      <c r="I88" t="s">
        <v>69</v>
      </c>
      <c r="J88" t="s">
        <v>39</v>
      </c>
      <c r="K88" s="5">
        <v>45270</v>
      </c>
      <c r="L88" t="s">
        <v>487</v>
      </c>
      <c r="M88" s="5">
        <v>44386</v>
      </c>
      <c r="N88" s="5">
        <v>44392</v>
      </c>
      <c r="O88" t="s">
        <v>52</v>
      </c>
      <c r="P88" t="s">
        <v>78</v>
      </c>
      <c r="Q88" t="s">
        <v>488</v>
      </c>
      <c r="R88" t="s">
        <v>86</v>
      </c>
      <c r="S88">
        <v>7</v>
      </c>
      <c r="T88" s="6">
        <v>0.3</v>
      </c>
      <c r="U88" s="4">
        <v>5107.71</v>
      </c>
    </row>
    <row r="89" spans="1:21" x14ac:dyDescent="0.3">
      <c r="A89" t="s">
        <v>489</v>
      </c>
      <c r="B89" t="s">
        <v>195</v>
      </c>
      <c r="C89" t="s">
        <v>490</v>
      </c>
      <c r="D89" s="4">
        <v>2190.27</v>
      </c>
      <c r="E89">
        <v>2019</v>
      </c>
      <c r="F89" t="s">
        <v>37</v>
      </c>
      <c r="G89" t="s">
        <v>48</v>
      </c>
      <c r="H89" t="s">
        <v>68</v>
      </c>
      <c r="I89" t="s">
        <v>27</v>
      </c>
      <c r="J89" t="s">
        <v>28</v>
      </c>
      <c r="K89" s="5">
        <v>44225</v>
      </c>
      <c r="L89" t="s">
        <v>491</v>
      </c>
      <c r="M89" s="5">
        <v>43639</v>
      </c>
      <c r="N89" s="5">
        <v>43640</v>
      </c>
      <c r="O89" t="s">
        <v>61</v>
      </c>
      <c r="P89" t="s">
        <v>110</v>
      </c>
      <c r="Q89" t="s">
        <v>492</v>
      </c>
      <c r="R89" t="s">
        <v>73</v>
      </c>
      <c r="S89">
        <v>4</v>
      </c>
      <c r="T89" s="6">
        <v>0.03</v>
      </c>
      <c r="U89" s="4">
        <v>599.14</v>
      </c>
    </row>
    <row r="90" spans="1:21" x14ac:dyDescent="0.3">
      <c r="A90" t="s">
        <v>493</v>
      </c>
      <c r="B90" t="s">
        <v>494</v>
      </c>
      <c r="C90" t="s">
        <v>495</v>
      </c>
      <c r="D90" s="4">
        <v>49298.05</v>
      </c>
      <c r="E90">
        <v>2019</v>
      </c>
      <c r="F90" t="s">
        <v>67</v>
      </c>
      <c r="G90" t="s">
        <v>25</v>
      </c>
      <c r="H90" t="s">
        <v>49</v>
      </c>
      <c r="I90" t="s">
        <v>50</v>
      </c>
      <c r="J90" t="s">
        <v>28</v>
      </c>
      <c r="K90" s="5">
        <v>43537</v>
      </c>
      <c r="L90" t="s">
        <v>496</v>
      </c>
      <c r="M90" s="5">
        <v>43911</v>
      </c>
      <c r="N90" s="5">
        <v>43916</v>
      </c>
      <c r="O90" t="s">
        <v>52</v>
      </c>
      <c r="P90" t="s">
        <v>53</v>
      </c>
      <c r="Q90" t="s">
        <v>497</v>
      </c>
      <c r="R90" t="s">
        <v>295</v>
      </c>
      <c r="S90">
        <v>8</v>
      </c>
      <c r="T90" s="6">
        <v>0.02</v>
      </c>
      <c r="U90" s="4">
        <v>7957.55</v>
      </c>
    </row>
    <row r="91" spans="1:21" x14ac:dyDescent="0.3">
      <c r="A91" t="s">
        <v>498</v>
      </c>
      <c r="B91" t="s">
        <v>499</v>
      </c>
      <c r="C91" t="s">
        <v>500</v>
      </c>
      <c r="D91" s="4">
        <v>18541.080000000002</v>
      </c>
      <c r="E91">
        <v>2019</v>
      </c>
      <c r="F91" t="s">
        <v>67</v>
      </c>
      <c r="G91" t="s">
        <v>25</v>
      </c>
      <c r="H91" t="s">
        <v>26</v>
      </c>
      <c r="I91" t="s">
        <v>83</v>
      </c>
      <c r="J91" t="s">
        <v>39</v>
      </c>
      <c r="K91" s="5">
        <v>44427</v>
      </c>
      <c r="L91" t="s">
        <v>501</v>
      </c>
      <c r="M91" s="5">
        <v>43617</v>
      </c>
      <c r="N91" s="5">
        <v>43618</v>
      </c>
      <c r="O91" t="s">
        <v>52</v>
      </c>
      <c r="P91" t="s">
        <v>31</v>
      </c>
      <c r="Q91" t="s">
        <v>502</v>
      </c>
      <c r="R91" t="s">
        <v>279</v>
      </c>
      <c r="S91">
        <v>3</v>
      </c>
      <c r="T91" s="6">
        <v>0.45</v>
      </c>
      <c r="U91" s="4">
        <v>2815.08</v>
      </c>
    </row>
    <row r="92" spans="1:21" x14ac:dyDescent="0.3">
      <c r="A92" t="s">
        <v>503</v>
      </c>
      <c r="B92" t="s">
        <v>504</v>
      </c>
      <c r="C92" t="s">
        <v>359</v>
      </c>
      <c r="D92" s="4">
        <v>14362.94</v>
      </c>
      <c r="E92">
        <v>2022</v>
      </c>
      <c r="F92" t="s">
        <v>67</v>
      </c>
      <c r="G92" t="s">
        <v>38</v>
      </c>
      <c r="H92" t="s">
        <v>68</v>
      </c>
      <c r="I92" t="s">
        <v>83</v>
      </c>
      <c r="J92" t="s">
        <v>28</v>
      </c>
      <c r="K92" s="5">
        <v>44416</v>
      </c>
      <c r="L92" t="s">
        <v>505</v>
      </c>
      <c r="M92" s="5">
        <v>44480</v>
      </c>
      <c r="N92" s="5">
        <v>44481</v>
      </c>
      <c r="O92" t="s">
        <v>30</v>
      </c>
      <c r="P92" t="s">
        <v>116</v>
      </c>
      <c r="Q92" t="s">
        <v>506</v>
      </c>
      <c r="R92" t="s">
        <v>73</v>
      </c>
      <c r="S92">
        <v>7</v>
      </c>
      <c r="T92" s="6">
        <v>0.41</v>
      </c>
      <c r="U92" s="4">
        <v>2417.7199999999998</v>
      </c>
    </row>
    <row r="93" spans="1:21" x14ac:dyDescent="0.3">
      <c r="A93" t="s">
        <v>507</v>
      </c>
      <c r="B93" t="s">
        <v>508</v>
      </c>
      <c r="C93" t="s">
        <v>509</v>
      </c>
      <c r="D93" s="4">
        <v>22134.74</v>
      </c>
      <c r="E93">
        <v>2022</v>
      </c>
      <c r="F93" t="s">
        <v>37</v>
      </c>
      <c r="G93" t="s">
        <v>25</v>
      </c>
      <c r="H93" t="s">
        <v>102</v>
      </c>
      <c r="I93" t="s">
        <v>27</v>
      </c>
      <c r="J93" t="s">
        <v>28</v>
      </c>
      <c r="K93" s="5">
        <v>44558</v>
      </c>
      <c r="L93" t="s">
        <v>510</v>
      </c>
      <c r="M93" s="5">
        <v>44890</v>
      </c>
      <c r="N93" s="5">
        <v>44895</v>
      </c>
      <c r="O93" t="s">
        <v>61</v>
      </c>
      <c r="P93" t="s">
        <v>42</v>
      </c>
      <c r="Q93" t="s">
        <v>511</v>
      </c>
      <c r="R93" t="s">
        <v>386</v>
      </c>
      <c r="S93">
        <v>2</v>
      </c>
      <c r="T93" s="6">
        <v>0.39</v>
      </c>
      <c r="U93" s="4">
        <v>2313.9699999999998</v>
      </c>
    </row>
    <row r="94" spans="1:21" x14ac:dyDescent="0.3">
      <c r="A94" t="s">
        <v>512</v>
      </c>
      <c r="B94" t="s">
        <v>513</v>
      </c>
      <c r="C94" t="s">
        <v>514</v>
      </c>
      <c r="D94" s="4">
        <v>3485.44</v>
      </c>
      <c r="E94">
        <v>2021</v>
      </c>
      <c r="F94" t="s">
        <v>37</v>
      </c>
      <c r="G94" t="s">
        <v>25</v>
      </c>
      <c r="H94" t="s">
        <v>151</v>
      </c>
      <c r="I94" t="s">
        <v>27</v>
      </c>
      <c r="J94" t="s">
        <v>39</v>
      </c>
      <c r="K94" s="5">
        <v>44669</v>
      </c>
      <c r="L94" t="s">
        <v>515</v>
      </c>
      <c r="M94" s="5">
        <v>44937</v>
      </c>
      <c r="N94" s="5">
        <v>44940</v>
      </c>
      <c r="O94" t="s">
        <v>30</v>
      </c>
      <c r="P94" t="s">
        <v>129</v>
      </c>
      <c r="Q94" t="s">
        <v>516</v>
      </c>
      <c r="R94" t="s">
        <v>171</v>
      </c>
      <c r="S94">
        <v>1</v>
      </c>
      <c r="T94" s="6">
        <v>0.01</v>
      </c>
      <c r="U94" s="4">
        <v>535.1</v>
      </c>
    </row>
    <row r="95" spans="1:21" x14ac:dyDescent="0.3">
      <c r="A95" t="s">
        <v>517</v>
      </c>
      <c r="B95" t="s">
        <v>518</v>
      </c>
      <c r="C95" t="s">
        <v>519</v>
      </c>
      <c r="D95" s="4">
        <v>13846.12</v>
      </c>
      <c r="E95">
        <v>2019</v>
      </c>
      <c r="F95" t="s">
        <v>67</v>
      </c>
      <c r="G95" t="s">
        <v>38</v>
      </c>
      <c r="H95" t="s">
        <v>102</v>
      </c>
      <c r="I95" t="s">
        <v>50</v>
      </c>
      <c r="J95" t="s">
        <v>39</v>
      </c>
      <c r="K95" s="5">
        <v>44291</v>
      </c>
      <c r="L95" t="s">
        <v>520</v>
      </c>
      <c r="M95" s="5">
        <v>44672</v>
      </c>
      <c r="N95" s="5">
        <v>44677</v>
      </c>
      <c r="O95" t="s">
        <v>52</v>
      </c>
      <c r="P95" t="s">
        <v>31</v>
      </c>
      <c r="Q95" t="s">
        <v>521</v>
      </c>
      <c r="R95" t="s">
        <v>386</v>
      </c>
      <c r="S95">
        <v>3</v>
      </c>
      <c r="T95" s="6">
        <v>0.37</v>
      </c>
      <c r="U95" s="4">
        <v>2195.9499999999998</v>
      </c>
    </row>
    <row r="96" spans="1:21" x14ac:dyDescent="0.3">
      <c r="A96" t="s">
        <v>522</v>
      </c>
      <c r="B96" t="s">
        <v>523</v>
      </c>
      <c r="C96" t="s">
        <v>524</v>
      </c>
      <c r="D96" s="4">
        <v>31236.77</v>
      </c>
      <c r="E96">
        <v>2021</v>
      </c>
      <c r="F96" t="s">
        <v>37</v>
      </c>
      <c r="G96" t="s">
        <v>38</v>
      </c>
      <c r="H96" t="s">
        <v>151</v>
      </c>
      <c r="I96" t="s">
        <v>69</v>
      </c>
      <c r="J96" t="s">
        <v>39</v>
      </c>
      <c r="K96" s="5">
        <v>43803</v>
      </c>
      <c r="L96" t="s">
        <v>525</v>
      </c>
      <c r="M96" s="5">
        <v>44617</v>
      </c>
      <c r="N96" s="5">
        <v>44621</v>
      </c>
      <c r="O96" t="s">
        <v>52</v>
      </c>
      <c r="P96" t="s">
        <v>129</v>
      </c>
      <c r="Q96" t="s">
        <v>526</v>
      </c>
      <c r="R96" t="s">
        <v>171</v>
      </c>
      <c r="S96">
        <v>1</v>
      </c>
      <c r="T96" s="6">
        <v>0</v>
      </c>
      <c r="U96" s="4">
        <v>7427.19</v>
      </c>
    </row>
    <row r="97" spans="1:21" x14ac:dyDescent="0.3">
      <c r="A97" t="s">
        <v>527</v>
      </c>
      <c r="B97" t="s">
        <v>528</v>
      </c>
      <c r="C97" t="s">
        <v>529</v>
      </c>
      <c r="D97" s="4">
        <v>40544.54</v>
      </c>
      <c r="E97">
        <v>2020</v>
      </c>
      <c r="F97" t="s">
        <v>37</v>
      </c>
      <c r="G97" t="s">
        <v>25</v>
      </c>
      <c r="H97" t="s">
        <v>26</v>
      </c>
      <c r="I97" t="s">
        <v>83</v>
      </c>
      <c r="J97" t="s">
        <v>39</v>
      </c>
      <c r="K97" s="5">
        <v>45091</v>
      </c>
      <c r="L97" t="s">
        <v>530</v>
      </c>
      <c r="M97" s="5">
        <v>44123</v>
      </c>
      <c r="N97" s="5">
        <v>44129</v>
      </c>
      <c r="O97" t="s">
        <v>30</v>
      </c>
      <c r="P97" t="s">
        <v>110</v>
      </c>
      <c r="Q97" t="s">
        <v>531</v>
      </c>
      <c r="R97" t="s">
        <v>33</v>
      </c>
      <c r="S97">
        <v>8</v>
      </c>
      <c r="T97" s="6">
        <v>0.03</v>
      </c>
      <c r="U97" s="4">
        <v>7015.28</v>
      </c>
    </row>
    <row r="98" spans="1:21" x14ac:dyDescent="0.3">
      <c r="A98" t="s">
        <v>532</v>
      </c>
      <c r="B98" t="s">
        <v>533</v>
      </c>
      <c r="C98" t="s">
        <v>534</v>
      </c>
      <c r="D98" s="4">
        <v>45706.34</v>
      </c>
      <c r="E98">
        <v>2021</v>
      </c>
      <c r="F98" t="s">
        <v>67</v>
      </c>
      <c r="G98" t="s">
        <v>48</v>
      </c>
      <c r="H98" t="s">
        <v>59</v>
      </c>
      <c r="I98" t="s">
        <v>83</v>
      </c>
      <c r="J98" t="s">
        <v>39</v>
      </c>
      <c r="K98" s="5">
        <v>45199</v>
      </c>
      <c r="L98" t="s">
        <v>535</v>
      </c>
      <c r="M98" s="5">
        <v>45015</v>
      </c>
      <c r="N98" s="5">
        <v>45019</v>
      </c>
      <c r="O98" t="s">
        <v>52</v>
      </c>
      <c r="P98" t="s">
        <v>31</v>
      </c>
      <c r="Q98" t="s">
        <v>536</v>
      </c>
      <c r="R98" t="s">
        <v>306</v>
      </c>
      <c r="S98">
        <v>1</v>
      </c>
      <c r="T98" s="6">
        <v>0.08</v>
      </c>
      <c r="U98" s="4">
        <v>6356.72</v>
      </c>
    </row>
    <row r="99" spans="1:21" x14ac:dyDescent="0.3">
      <c r="A99" t="s">
        <v>537</v>
      </c>
      <c r="B99" t="s">
        <v>538</v>
      </c>
      <c r="C99" t="s">
        <v>539</v>
      </c>
      <c r="D99" s="4">
        <v>3718.28</v>
      </c>
      <c r="E99">
        <v>2020</v>
      </c>
      <c r="F99" t="s">
        <v>37</v>
      </c>
      <c r="G99" t="s">
        <v>25</v>
      </c>
      <c r="H99" t="s">
        <v>102</v>
      </c>
      <c r="I99" t="s">
        <v>27</v>
      </c>
      <c r="J99" t="s">
        <v>28</v>
      </c>
      <c r="K99" s="5">
        <v>44687</v>
      </c>
      <c r="L99" t="s">
        <v>540</v>
      </c>
      <c r="M99" s="5">
        <v>44207</v>
      </c>
      <c r="N99" s="5">
        <v>44209</v>
      </c>
      <c r="O99" t="s">
        <v>41</v>
      </c>
      <c r="P99" t="s">
        <v>110</v>
      </c>
      <c r="Q99" t="s">
        <v>541</v>
      </c>
      <c r="R99" t="s">
        <v>124</v>
      </c>
      <c r="S99">
        <v>4</v>
      </c>
      <c r="T99" s="6">
        <v>0.3</v>
      </c>
      <c r="U99" s="4">
        <v>685.51</v>
      </c>
    </row>
    <row r="100" spans="1:21" x14ac:dyDescent="0.3">
      <c r="A100" t="s">
        <v>542</v>
      </c>
      <c r="B100" t="s">
        <v>458</v>
      </c>
      <c r="C100" t="s">
        <v>543</v>
      </c>
      <c r="D100" s="4">
        <v>6704.71</v>
      </c>
      <c r="E100">
        <v>2023</v>
      </c>
      <c r="F100" t="s">
        <v>24</v>
      </c>
      <c r="G100" t="s">
        <v>25</v>
      </c>
      <c r="H100" t="s">
        <v>68</v>
      </c>
      <c r="I100" t="s">
        <v>50</v>
      </c>
      <c r="J100" t="s">
        <v>39</v>
      </c>
      <c r="K100" s="5">
        <v>45100</v>
      </c>
      <c r="L100" t="s">
        <v>544</v>
      </c>
      <c r="M100" s="5">
        <v>45050</v>
      </c>
      <c r="N100" s="5">
        <v>45057</v>
      </c>
      <c r="O100" t="s">
        <v>41</v>
      </c>
      <c r="P100" t="s">
        <v>71</v>
      </c>
      <c r="Q100" t="s">
        <v>545</v>
      </c>
      <c r="R100" t="s">
        <v>118</v>
      </c>
      <c r="S100">
        <v>8</v>
      </c>
      <c r="T100" s="6">
        <v>0.34</v>
      </c>
      <c r="U100" s="4">
        <v>1210.03</v>
      </c>
    </row>
    <row r="101" spans="1:21" x14ac:dyDescent="0.3">
      <c r="A101" t="s">
        <v>546</v>
      </c>
      <c r="B101" t="s">
        <v>354</v>
      </c>
      <c r="C101" t="s">
        <v>547</v>
      </c>
      <c r="D101" s="4">
        <v>3002.3</v>
      </c>
      <c r="E101">
        <v>2022</v>
      </c>
      <c r="F101" t="s">
        <v>37</v>
      </c>
      <c r="G101" t="s">
        <v>38</v>
      </c>
      <c r="H101" t="s">
        <v>102</v>
      </c>
      <c r="I101" t="s">
        <v>69</v>
      </c>
      <c r="J101" t="s">
        <v>39</v>
      </c>
      <c r="K101" s="5">
        <v>43905</v>
      </c>
      <c r="L101" t="s">
        <v>548</v>
      </c>
      <c r="M101" s="5">
        <v>43610</v>
      </c>
      <c r="N101" s="5">
        <v>43617</v>
      </c>
      <c r="O101" t="s">
        <v>52</v>
      </c>
      <c r="P101" t="s">
        <v>42</v>
      </c>
      <c r="Q101" t="s">
        <v>549</v>
      </c>
      <c r="R101" t="s">
        <v>386</v>
      </c>
      <c r="S101">
        <v>10</v>
      </c>
      <c r="T101" s="6">
        <v>0.25</v>
      </c>
      <c r="U101" s="4">
        <v>417.85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C85B3-E041-43FE-8585-19DC1C37EB24}">
  <dimension ref="B5:O104"/>
  <sheetViews>
    <sheetView topLeftCell="A44" zoomScale="90" workbookViewId="0">
      <selection activeCell="L61" sqref="L61"/>
    </sheetView>
  </sheetViews>
  <sheetFormatPr defaultRowHeight="14.4" x14ac:dyDescent="0.3"/>
  <cols>
    <col min="2" max="2" width="15" bestFit="1" customWidth="1"/>
    <col min="3" max="3" width="12.33203125" bestFit="1" customWidth="1"/>
    <col min="4" max="4" width="12.21875" bestFit="1" customWidth="1"/>
    <col min="5" max="5" width="14.44140625" bestFit="1" customWidth="1"/>
    <col min="15" max="15" width="15.44140625" customWidth="1"/>
  </cols>
  <sheetData>
    <row r="5" spans="2:15" x14ac:dyDescent="0.3">
      <c r="B5" t="s">
        <v>550</v>
      </c>
      <c r="D5" t="s">
        <v>552</v>
      </c>
      <c r="O5" s="10">
        <f>GETPIVOTDATA("Sales",$B$5)</f>
        <v>2291288.1499999994</v>
      </c>
    </row>
    <row r="6" spans="2:15" x14ac:dyDescent="0.3">
      <c r="B6" s="10">
        <v>2291288.1499999994</v>
      </c>
      <c r="D6">
        <v>520</v>
      </c>
    </row>
    <row r="9" spans="2:15" x14ac:dyDescent="0.3">
      <c r="B9" t="s">
        <v>551</v>
      </c>
      <c r="D9" t="s">
        <v>554</v>
      </c>
      <c r="O9" s="10">
        <f>GETPIVOTDATA("Profit",$B$9)</f>
        <v>330188.54000000004</v>
      </c>
    </row>
    <row r="10" spans="2:15" x14ac:dyDescent="0.3">
      <c r="B10" s="10">
        <v>330188.54000000004</v>
      </c>
      <c r="D10" s="8">
        <v>0.26049999999999984</v>
      </c>
    </row>
    <row r="13" spans="2:15" x14ac:dyDescent="0.3">
      <c r="O13">
        <f>GETPIVOTDATA("Quantity",$D$5)</f>
        <v>520</v>
      </c>
    </row>
    <row r="15" spans="2:15" x14ac:dyDescent="0.3">
      <c r="B15" s="7" t="s">
        <v>555</v>
      </c>
      <c r="C15" s="10" t="s">
        <v>550</v>
      </c>
    </row>
    <row r="16" spans="2:15" x14ac:dyDescent="0.3">
      <c r="B16" s="9">
        <v>2019</v>
      </c>
      <c r="C16" s="10">
        <v>401641.58999999997</v>
      </c>
      <c r="O16" s="15">
        <f>GETPIVOTDATA("Discount",$D$9)</f>
        <v>0.26049999999999984</v>
      </c>
    </row>
    <row r="17" spans="2:4" x14ac:dyDescent="0.3">
      <c r="B17" s="9">
        <v>2020</v>
      </c>
      <c r="C17" s="10">
        <v>348009.99</v>
      </c>
    </row>
    <row r="18" spans="2:4" x14ac:dyDescent="0.3">
      <c r="B18" s="9">
        <v>2021</v>
      </c>
      <c r="C18" s="10">
        <v>564967.00000000012</v>
      </c>
    </row>
    <row r="19" spans="2:4" x14ac:dyDescent="0.3">
      <c r="B19" s="9">
        <v>2022</v>
      </c>
      <c r="C19" s="10">
        <v>512804.69999999995</v>
      </c>
    </row>
    <row r="20" spans="2:4" x14ac:dyDescent="0.3">
      <c r="B20" s="9">
        <v>2023</v>
      </c>
      <c r="C20" s="10">
        <v>463864.87</v>
      </c>
    </row>
    <row r="31" spans="2:4" x14ac:dyDescent="0.3">
      <c r="B31" s="7" t="s">
        <v>555</v>
      </c>
      <c r="C31" t="s">
        <v>551</v>
      </c>
      <c r="D31" s="11" t="s">
        <v>553</v>
      </c>
    </row>
    <row r="32" spans="2:4" x14ac:dyDescent="0.3">
      <c r="B32" s="9" t="s">
        <v>59</v>
      </c>
      <c r="C32" s="10">
        <v>86433.26999999999</v>
      </c>
      <c r="D32" s="11">
        <v>6.27</v>
      </c>
    </row>
    <row r="33" spans="2:4" x14ac:dyDescent="0.3">
      <c r="B33" s="9" t="s">
        <v>49</v>
      </c>
      <c r="C33" s="10">
        <v>64003.19</v>
      </c>
      <c r="D33" s="11">
        <v>5.4499999999999993</v>
      </c>
    </row>
    <row r="34" spans="2:4" x14ac:dyDescent="0.3">
      <c r="B34" s="9" t="s">
        <v>26</v>
      </c>
      <c r="C34" s="10">
        <v>56810.47</v>
      </c>
      <c r="D34" s="11">
        <v>3.4899999999999998</v>
      </c>
    </row>
    <row r="35" spans="2:4" x14ac:dyDescent="0.3">
      <c r="B35" s="9" t="s">
        <v>68</v>
      </c>
      <c r="C35" s="10">
        <v>30306.579999999998</v>
      </c>
      <c r="D35" s="11">
        <v>3.0900000000000003</v>
      </c>
    </row>
    <row r="36" spans="2:4" x14ac:dyDescent="0.3">
      <c r="B36" s="9" t="s">
        <v>102</v>
      </c>
      <c r="C36" s="10">
        <v>39520.9</v>
      </c>
      <c r="D36" s="11">
        <v>2.87</v>
      </c>
    </row>
    <row r="37" spans="2:4" x14ac:dyDescent="0.3">
      <c r="B37" s="9" t="s">
        <v>151</v>
      </c>
      <c r="C37" s="10">
        <v>53114.13</v>
      </c>
      <c r="D37" s="11">
        <v>4.88</v>
      </c>
    </row>
    <row r="46" spans="2:4" x14ac:dyDescent="0.3">
      <c r="B46" s="7" t="s">
        <v>555</v>
      </c>
      <c r="C46" s="14" t="s">
        <v>551</v>
      </c>
    </row>
    <row r="47" spans="2:4" x14ac:dyDescent="0.3">
      <c r="B47" s="9" t="s">
        <v>69</v>
      </c>
      <c r="C47" s="14">
        <v>89228.830000000016</v>
      </c>
    </row>
    <row r="48" spans="2:4" x14ac:dyDescent="0.3">
      <c r="B48" s="9" t="s">
        <v>50</v>
      </c>
      <c r="C48" s="14">
        <v>97095.169999999984</v>
      </c>
    </row>
    <row r="49" spans="2:3" x14ac:dyDescent="0.3">
      <c r="B49" s="9" t="s">
        <v>83</v>
      </c>
      <c r="C49" s="14">
        <v>85841.62999999999</v>
      </c>
    </row>
    <row r="50" spans="2:3" x14ac:dyDescent="0.3">
      <c r="B50" s="9" t="s">
        <v>27</v>
      </c>
      <c r="C50" s="14">
        <v>58022.91</v>
      </c>
    </row>
    <row r="61" spans="2:3" x14ac:dyDescent="0.3">
      <c r="B61" s="7" t="s">
        <v>555</v>
      </c>
      <c r="C61" s="10" t="s">
        <v>550</v>
      </c>
    </row>
    <row r="62" spans="2:3" x14ac:dyDescent="0.3">
      <c r="B62" s="9" t="s">
        <v>78</v>
      </c>
      <c r="C62" s="10">
        <v>60427.399999999994</v>
      </c>
    </row>
    <row r="63" spans="2:3" x14ac:dyDescent="0.3">
      <c r="B63" s="9" t="s">
        <v>116</v>
      </c>
      <c r="C63" s="10">
        <v>95448.670000000013</v>
      </c>
    </row>
    <row r="64" spans="2:3" x14ac:dyDescent="0.3">
      <c r="B64" s="9" t="s">
        <v>71</v>
      </c>
      <c r="C64" s="10">
        <v>95919.150000000009</v>
      </c>
    </row>
    <row r="65" spans="2:3" x14ac:dyDescent="0.3">
      <c r="B65" s="9" t="s">
        <v>146</v>
      </c>
      <c r="C65" s="10">
        <v>223852.65</v>
      </c>
    </row>
    <row r="66" spans="2:3" x14ac:dyDescent="0.3">
      <c r="B66" s="9" t="s">
        <v>91</v>
      </c>
      <c r="C66" s="10">
        <v>243762.3</v>
      </c>
    </row>
    <row r="67" spans="2:3" x14ac:dyDescent="0.3">
      <c r="B67" s="9" t="s">
        <v>110</v>
      </c>
      <c r="C67" s="10">
        <v>248872</v>
      </c>
    </row>
    <row r="68" spans="2:3" x14ac:dyDescent="0.3">
      <c r="B68" s="9" t="s">
        <v>42</v>
      </c>
      <c r="C68" s="10">
        <v>274550.37999999995</v>
      </c>
    </row>
    <row r="69" spans="2:3" x14ac:dyDescent="0.3">
      <c r="B69" s="9" t="s">
        <v>53</v>
      </c>
      <c r="C69" s="10">
        <v>287758.06</v>
      </c>
    </row>
    <row r="70" spans="2:3" x14ac:dyDescent="0.3">
      <c r="B70" s="9" t="s">
        <v>31</v>
      </c>
      <c r="C70" s="10">
        <v>323350.57000000007</v>
      </c>
    </row>
    <row r="71" spans="2:3" x14ac:dyDescent="0.3">
      <c r="B71" s="9" t="s">
        <v>129</v>
      </c>
      <c r="C71" s="10">
        <v>437346.97</v>
      </c>
    </row>
    <row r="80" spans="2:3" x14ac:dyDescent="0.3">
      <c r="B80" s="7" t="s">
        <v>555</v>
      </c>
      <c r="C80" s="13" t="s">
        <v>552</v>
      </c>
    </row>
    <row r="81" spans="2:3" x14ac:dyDescent="0.3">
      <c r="B81" s="9" t="s">
        <v>59</v>
      </c>
      <c r="C81" s="12">
        <v>0.25576923076923075</v>
      </c>
    </row>
    <row r="82" spans="2:3" x14ac:dyDescent="0.3">
      <c r="B82" s="9" t="s">
        <v>49</v>
      </c>
      <c r="C82" s="12">
        <v>0.20384615384615384</v>
      </c>
    </row>
    <row r="83" spans="2:3" x14ac:dyDescent="0.3">
      <c r="B83" s="9" t="s">
        <v>26</v>
      </c>
      <c r="C83" s="12">
        <v>0.125</v>
      </c>
    </row>
    <row r="84" spans="2:3" x14ac:dyDescent="0.3">
      <c r="B84" s="9" t="s">
        <v>68</v>
      </c>
      <c r="C84" s="12">
        <v>0.14038461538461539</v>
      </c>
    </row>
    <row r="85" spans="2:3" x14ac:dyDescent="0.3">
      <c r="B85" s="9" t="s">
        <v>102</v>
      </c>
      <c r="C85" s="12">
        <v>0.10961538461538461</v>
      </c>
    </row>
    <row r="86" spans="2:3" x14ac:dyDescent="0.3">
      <c r="B86" s="9" t="s">
        <v>151</v>
      </c>
      <c r="C86" s="12">
        <v>0.16538461538461538</v>
      </c>
    </row>
    <row r="98" spans="2:4" x14ac:dyDescent="0.3">
      <c r="B98" s="7" t="s">
        <v>555</v>
      </c>
      <c r="C98" t="s">
        <v>550</v>
      </c>
      <c r="D98" t="s">
        <v>551</v>
      </c>
    </row>
    <row r="99" spans="2:4" x14ac:dyDescent="0.3">
      <c r="B99" s="9" t="s">
        <v>59</v>
      </c>
      <c r="C99" s="10">
        <v>604528.86999999988</v>
      </c>
      <c r="D99" s="10">
        <v>86433.26999999999</v>
      </c>
    </row>
    <row r="100" spans="2:4" x14ac:dyDescent="0.3">
      <c r="B100" s="9" t="s">
        <v>49</v>
      </c>
      <c r="C100" s="10">
        <v>434565.71999999991</v>
      </c>
      <c r="D100" s="10">
        <v>64003.19</v>
      </c>
    </row>
    <row r="101" spans="2:4" x14ac:dyDescent="0.3">
      <c r="B101" s="9" t="s">
        <v>26</v>
      </c>
      <c r="C101" s="10">
        <v>368886.47000000003</v>
      </c>
      <c r="D101" s="10">
        <v>56810.47</v>
      </c>
    </row>
    <row r="102" spans="2:4" x14ac:dyDescent="0.3">
      <c r="B102" s="9" t="s">
        <v>68</v>
      </c>
      <c r="C102" s="10">
        <v>239417.86999999997</v>
      </c>
      <c r="D102" s="10">
        <v>30306.579999999998</v>
      </c>
    </row>
    <row r="103" spans="2:4" x14ac:dyDescent="0.3">
      <c r="B103" s="9" t="s">
        <v>102</v>
      </c>
      <c r="C103" s="10">
        <v>286908.98</v>
      </c>
      <c r="D103" s="10">
        <v>39520.9</v>
      </c>
    </row>
    <row r="104" spans="2:4" x14ac:dyDescent="0.3">
      <c r="B104" s="9" t="s">
        <v>151</v>
      </c>
      <c r="C104" s="10">
        <v>356980.24000000005</v>
      </c>
      <c r="D104" s="10">
        <v>53114.13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B49BE-77E3-42BB-B20D-70EAC5D2F2FC}">
  <dimension ref="A1"/>
  <sheetViews>
    <sheetView showGridLines="0" topLeftCell="A10" zoomScale="76" workbookViewId="0">
      <selection activeCell="Z9" sqref="Z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Retail_Shop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VAMSI KRISHNA RADHARAPU</dc:creator>
  <cp:lastModifiedBy>VAMSI KRISHNA RADHARAPU</cp:lastModifiedBy>
  <dcterms:created xsi:type="dcterms:W3CDTF">2026-05-10T11:15:20Z</dcterms:created>
  <dcterms:modified xsi:type="dcterms:W3CDTF">2026-05-26T03:03:49Z</dcterms:modified>
</cp:coreProperties>
</file>